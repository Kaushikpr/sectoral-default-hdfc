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390e0fbf2c9c99/Documents/"/>
    </mc:Choice>
  </mc:AlternateContent>
  <xr:revisionPtr revIDLastSave="8" documentId="8_{D00A10B4-0230-4DDC-806A-66861B5A2CC2}" xr6:coauthVersionLast="47" xr6:coauthVersionMax="47" xr10:uidLastSave="{C509A724-8011-43BB-8000-6CBFA19E5DCF}"/>
  <bookViews>
    <workbookView xWindow="-108" yWindow="-108" windowWidth="23256" windowHeight="12456" activeTab="5" xr2:uid="{9291673E-F051-4381-B5F3-E826DE8A3277}"/>
  </bookViews>
  <sheets>
    <sheet name="31st Dec 2022 (Nifty 50)" sheetId="1" r:id="rId1"/>
    <sheet name="Mar 2018 data" sheetId="2" r:id="rId2"/>
    <sheet name="Mar 2019 data" sheetId="3" r:id="rId3"/>
    <sheet name="Mar 2020 data" sheetId="4" r:id="rId4"/>
    <sheet name="Mar 2021 data" sheetId="5" r:id="rId5"/>
    <sheet name="Mar 2022 dat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1" i="6" l="1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6" i="2"/>
  <c r="E7" i="1"/>
  <c r="E31" i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" i="1"/>
</calcChain>
</file>

<file path=xl/sharedStrings.xml><?xml version="1.0" encoding="utf-8"?>
<sst xmlns="http://schemas.openxmlformats.org/spreadsheetml/2006/main" count="477" uniqueCount="59">
  <si>
    <t>Code</t>
  </si>
  <si>
    <t>Industry</t>
  </si>
  <si>
    <t>Fund Based [Outstanding-O/s)]</t>
  </si>
  <si>
    <t>NPA</t>
  </si>
  <si>
    <t>Total</t>
  </si>
  <si>
    <t>Coal</t>
  </si>
  <si>
    <t>Mining</t>
  </si>
  <si>
    <t>Iron &amp; Steel</t>
  </si>
  <si>
    <t>Metal Products</t>
  </si>
  <si>
    <t>All Engineering</t>
  </si>
  <si>
    <t>Of which Electronics</t>
  </si>
  <si>
    <t>Electricity</t>
  </si>
  <si>
    <t>Cotton Textiles</t>
  </si>
  <si>
    <t>Jute Textiles</t>
  </si>
  <si>
    <t>Other Textiles</t>
  </si>
  <si>
    <t>Sugar</t>
  </si>
  <si>
    <t>Tea</t>
  </si>
  <si>
    <t>Food Processing</t>
  </si>
  <si>
    <t>Vegetable Oils &amp;Vanaspati</t>
  </si>
  <si>
    <t>Tobacco / Tobacco Products</t>
  </si>
  <si>
    <t>Paper / Paper Products</t>
  </si>
  <si>
    <t>Rubber / Rubber Products</t>
  </si>
  <si>
    <t>Chemicals / Dyes / Paints etc.</t>
  </si>
  <si>
    <t>Of which Fertilizers</t>
  </si>
  <si>
    <t>Of which Petrochemicals</t>
  </si>
  <si>
    <t>Of which Drugs &amp;Pharma</t>
  </si>
  <si>
    <t>Cement</t>
  </si>
  <si>
    <t>Leather &amp; Leather Products</t>
  </si>
  <si>
    <t>Gems &amp; Jewellery</t>
  </si>
  <si>
    <t>Construction</t>
  </si>
  <si>
    <t>Petroleum</t>
  </si>
  <si>
    <t>Automobiles &amp; Trucks</t>
  </si>
  <si>
    <t>Computer Software</t>
  </si>
  <si>
    <t>Infrastructure</t>
  </si>
  <si>
    <t>Of which Power</t>
  </si>
  <si>
    <t>Of which Telecommunication</t>
  </si>
  <si>
    <t>Of which Roads &amp; Ports</t>
  </si>
  <si>
    <t>Other Industries</t>
  </si>
  <si>
    <t>NBFCs &amp; Trading</t>
  </si>
  <si>
    <t>Residual Advances</t>
  </si>
  <si>
    <t>32,02,054.62</t>
  </si>
  <si>
    <t>Correlation matrix</t>
  </si>
  <si>
    <t>Groupings</t>
  </si>
  <si>
    <t>17.2, 22</t>
  </si>
  <si>
    <t>3, 4</t>
  </si>
  <si>
    <t>NPA Percentage (approx PD) *</t>
  </si>
  <si>
    <t>Non-Fund Based(O/s)</t>
  </si>
  <si>
    <t>Standard</t>
  </si>
  <si>
    <t xml:space="preserve"> Industry Type Distribution of Exposures as on 31.03.2018</t>
  </si>
  <si>
    <t>NPA % of total</t>
  </si>
  <si>
    <t>Default % as of March 2018</t>
  </si>
  <si>
    <t xml:space="preserve"> Industry Type Distribution of Exposures as on 31.03.2019</t>
  </si>
  <si>
    <t>Default % as of March 2019</t>
  </si>
  <si>
    <t xml:space="preserve"> Industry Type Distribution of Exposures as on 31.03.2020</t>
  </si>
  <si>
    <t>Default % as of March 2020</t>
  </si>
  <si>
    <t>Default % as of March 2021</t>
  </si>
  <si>
    <t xml:space="preserve"> Industry Type Distribution of Exposures as on 31.03.2021</t>
  </si>
  <si>
    <t xml:space="preserve"> Industry Type Distribution of Exposures as on 31.03.2022</t>
  </si>
  <si>
    <t>Default % as of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</si>
</sst>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3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" fontId="0" fillId="0" borderId="0" xfId="0" applyNumberFormat="1"/>
    <xf numFmtId="4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center" wrapText="1"/>
    </xf>
    <xf numFmtId="9" fontId="3" fillId="0" borderId="4" xfId="1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4" fontId="3" fillId="2" borderId="4" xfId="0" applyNumberFormat="1" applyFont="1" applyFill="1" applyBorder="1" applyAlignment="1">
      <alignment horizontal="right" vertical="center" wrapText="1"/>
    </xf>
    <xf numFmtId="9" fontId="3" fillId="2" borderId="4" xfId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0" fillId="0" borderId="0" xfId="0" applyAlignment="1">
      <alignment horizontal="center"/>
    </xf>
    <xf numFmtId="10" fontId="3" fillId="0" borderId="4" xfId="1" applyNumberFormat="1" applyFont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DCE0-C70E-491D-A516-AF27358A35AB}">
  <dimension ref="A1:K38"/>
  <sheetViews>
    <sheetView workbookViewId="0">
      <selection activeCell="E6" sqref="E6"/>
    </sheetView>
  </sheetViews>
  <sheetFormatPr defaultRowHeight="14.4" x14ac:dyDescent="0.3"/>
  <cols>
    <col min="1" max="1" width="6.44140625" bestFit="1" customWidth="1"/>
    <col min="2" max="2" width="15.44140625" customWidth="1"/>
    <col min="3" max="3" width="10.88671875" bestFit="1" customWidth="1"/>
    <col min="4" max="4" width="12.6640625" bestFit="1" customWidth="1"/>
    <col min="5" max="5" width="16.6640625" bestFit="1" customWidth="1"/>
    <col min="8" max="8" width="11.44140625" bestFit="1" customWidth="1"/>
  </cols>
  <sheetData>
    <row r="1" spans="1:10" ht="31.2" customHeight="1" thickBot="1" x14ac:dyDescent="0.35">
      <c r="A1" s="18" t="s">
        <v>0</v>
      </c>
      <c r="B1" s="20" t="s">
        <v>1</v>
      </c>
      <c r="C1" s="22" t="s">
        <v>2</v>
      </c>
      <c r="D1" s="23"/>
      <c r="E1" s="24"/>
      <c r="G1" t="s">
        <v>42</v>
      </c>
      <c r="J1" t="s">
        <v>41</v>
      </c>
    </row>
    <row r="2" spans="1:10" ht="63" thickBot="1" x14ac:dyDescent="0.35">
      <c r="A2" s="19"/>
      <c r="B2" s="21"/>
      <c r="C2" s="1" t="s">
        <v>3</v>
      </c>
      <c r="D2" s="2" t="s">
        <v>4</v>
      </c>
      <c r="E2" s="1" t="s">
        <v>45</v>
      </c>
      <c r="G2" t="s">
        <v>44</v>
      </c>
    </row>
    <row r="3" spans="1:10" ht="15.6" thickBot="1" x14ac:dyDescent="0.35">
      <c r="A3" s="3">
        <v>1</v>
      </c>
      <c r="B3" s="4" t="s">
        <v>5</v>
      </c>
      <c r="C3" s="7">
        <v>400.36</v>
      </c>
      <c r="D3" s="6">
        <v>6999.42</v>
      </c>
      <c r="E3" s="12">
        <f>C3/D3</f>
        <v>5.7199025062076574E-2</v>
      </c>
      <c r="G3" t="s">
        <v>43</v>
      </c>
    </row>
    <row r="4" spans="1:10" ht="15.6" thickBot="1" x14ac:dyDescent="0.35">
      <c r="A4" s="3">
        <v>2</v>
      </c>
      <c r="B4" s="4" t="s">
        <v>6</v>
      </c>
      <c r="C4" s="7">
        <v>70.75</v>
      </c>
      <c r="D4" s="6">
        <v>17251.330000000002</v>
      </c>
      <c r="E4" s="12">
        <f t="shared" ref="E4:E37" si="0">C4/D4</f>
        <v>4.101133072058792E-3</v>
      </c>
    </row>
    <row r="5" spans="1:10" ht="15.6" thickBot="1" x14ac:dyDescent="0.35">
      <c r="A5" s="13">
        <v>3</v>
      </c>
      <c r="B5" s="14" t="s">
        <v>7</v>
      </c>
      <c r="C5" s="16">
        <v>1097.68</v>
      </c>
      <c r="D5" s="16">
        <v>57428.66</v>
      </c>
      <c r="E5" s="17">
        <f t="shared" si="0"/>
        <v>1.911380136677401E-2</v>
      </c>
    </row>
    <row r="6" spans="1:10" ht="30.6" thickBot="1" x14ac:dyDescent="0.35">
      <c r="A6" s="13">
        <v>4</v>
      </c>
      <c r="B6" s="14" t="s">
        <v>8</v>
      </c>
      <c r="C6" s="15">
        <v>494.51</v>
      </c>
      <c r="D6" s="16">
        <v>34279.94</v>
      </c>
      <c r="E6" s="17">
        <f t="shared" si="0"/>
        <v>1.4425637851174768E-2</v>
      </c>
    </row>
    <row r="7" spans="1:10" ht="15.6" thickBot="1" x14ac:dyDescent="0.35">
      <c r="A7" s="3">
        <v>5</v>
      </c>
      <c r="B7" s="4" t="s">
        <v>9</v>
      </c>
      <c r="C7" s="6">
        <v>3192.58</v>
      </c>
      <c r="D7" s="6">
        <v>37378.53</v>
      </c>
      <c r="E7" s="12">
        <f>C7/D7</f>
        <v>8.5412133649985705E-2</v>
      </c>
    </row>
    <row r="8" spans="1:10" ht="30.6" thickBot="1" x14ac:dyDescent="0.35">
      <c r="A8" s="3">
        <v>5.0999999999999996</v>
      </c>
      <c r="B8" s="4" t="s">
        <v>10</v>
      </c>
      <c r="C8" s="7">
        <v>98.4</v>
      </c>
      <c r="D8" s="6">
        <v>6716.67</v>
      </c>
      <c r="E8" s="12">
        <f t="shared" si="0"/>
        <v>1.4650116798949481E-2</v>
      </c>
    </row>
    <row r="9" spans="1:10" ht="15.6" thickBot="1" x14ac:dyDescent="0.35">
      <c r="A9" s="3">
        <v>6</v>
      </c>
      <c r="B9" s="4" t="s">
        <v>11</v>
      </c>
      <c r="C9" s="7">
        <v>0.19</v>
      </c>
      <c r="D9" s="7">
        <v>474.76</v>
      </c>
      <c r="E9" s="12">
        <f t="shared" si="0"/>
        <v>4.0020220743112311E-4</v>
      </c>
    </row>
    <row r="10" spans="1:10" ht="30.6" thickBot="1" x14ac:dyDescent="0.35">
      <c r="A10" s="3">
        <v>7</v>
      </c>
      <c r="B10" s="4" t="s">
        <v>12</v>
      </c>
      <c r="C10" s="6">
        <v>1230.25</v>
      </c>
      <c r="D10" s="6">
        <v>21307.31</v>
      </c>
      <c r="E10" s="12">
        <f t="shared" si="0"/>
        <v>5.7738400577078942E-2</v>
      </c>
    </row>
    <row r="11" spans="1:10" ht="15.6" thickBot="1" x14ac:dyDescent="0.35">
      <c r="A11" s="3">
        <v>8</v>
      </c>
      <c r="B11" s="4" t="s">
        <v>13</v>
      </c>
      <c r="C11" s="7">
        <v>27.19</v>
      </c>
      <c r="D11" s="7">
        <v>620.12</v>
      </c>
      <c r="E11" s="12">
        <f t="shared" si="0"/>
        <v>4.3846352318906018E-2</v>
      </c>
    </row>
    <row r="12" spans="1:10" ht="15.6" thickBot="1" x14ac:dyDescent="0.35">
      <c r="A12" s="3">
        <v>9</v>
      </c>
      <c r="B12" s="4" t="s">
        <v>14</v>
      </c>
      <c r="C12" s="6">
        <v>1111.53</v>
      </c>
      <c r="D12" s="6">
        <v>11620.93</v>
      </c>
      <c r="E12" s="12">
        <f t="shared" si="0"/>
        <v>9.5648971295756877E-2</v>
      </c>
    </row>
    <row r="13" spans="1:10" ht="15.6" thickBot="1" x14ac:dyDescent="0.35">
      <c r="A13" s="3">
        <v>10</v>
      </c>
      <c r="B13" s="4" t="s">
        <v>15</v>
      </c>
      <c r="C13" s="7">
        <v>619.51</v>
      </c>
      <c r="D13" s="6">
        <v>4295.25</v>
      </c>
      <c r="E13" s="12">
        <f t="shared" si="0"/>
        <v>0.1442314184273325</v>
      </c>
    </row>
    <row r="14" spans="1:10" ht="15.6" thickBot="1" x14ac:dyDescent="0.35">
      <c r="A14" s="3">
        <v>11</v>
      </c>
      <c r="B14" s="4" t="s">
        <v>16</v>
      </c>
      <c r="C14" s="7">
        <v>37.83</v>
      </c>
      <c r="D14" s="6">
        <v>1081.93</v>
      </c>
      <c r="E14" s="12">
        <f t="shared" si="0"/>
        <v>3.4965293503276547E-2</v>
      </c>
    </row>
    <row r="15" spans="1:10" ht="30.6" thickBot="1" x14ac:dyDescent="0.35">
      <c r="A15" s="3">
        <v>12</v>
      </c>
      <c r="B15" s="4" t="s">
        <v>17</v>
      </c>
      <c r="C15" s="6">
        <v>4193.2299999999996</v>
      </c>
      <c r="D15" s="6">
        <v>55735.58</v>
      </c>
      <c r="E15" s="12">
        <f t="shared" si="0"/>
        <v>7.523434761062861E-2</v>
      </c>
    </row>
    <row r="16" spans="1:10" ht="30.6" thickBot="1" x14ac:dyDescent="0.35">
      <c r="A16" s="3">
        <v>13</v>
      </c>
      <c r="B16" s="4" t="s">
        <v>18</v>
      </c>
      <c r="C16" s="7">
        <v>519.94000000000005</v>
      </c>
      <c r="D16" s="6">
        <v>4905.55</v>
      </c>
      <c r="E16" s="12">
        <f t="shared" si="0"/>
        <v>0.10599015400923445</v>
      </c>
    </row>
    <row r="17" spans="1:11" ht="45.6" thickBot="1" x14ac:dyDescent="0.35">
      <c r="A17" s="3">
        <v>14</v>
      </c>
      <c r="B17" s="4" t="s">
        <v>19</v>
      </c>
      <c r="C17" s="7">
        <v>12.02</v>
      </c>
      <c r="D17" s="7">
        <v>366.98</v>
      </c>
      <c r="E17" s="12">
        <f t="shared" si="0"/>
        <v>3.275382854651479E-2</v>
      </c>
    </row>
    <row r="18" spans="1:11" ht="30.6" thickBot="1" x14ac:dyDescent="0.35">
      <c r="A18" s="3">
        <v>15</v>
      </c>
      <c r="B18" s="4" t="s">
        <v>20</v>
      </c>
      <c r="C18" s="7">
        <v>317.36</v>
      </c>
      <c r="D18" s="6">
        <v>6834.57</v>
      </c>
      <c r="E18" s="12">
        <f t="shared" si="0"/>
        <v>4.6434523313097976E-2</v>
      </c>
    </row>
    <row r="19" spans="1:11" ht="45.6" thickBot="1" x14ac:dyDescent="0.35">
      <c r="A19" s="3">
        <v>16</v>
      </c>
      <c r="B19" s="4" t="s">
        <v>21</v>
      </c>
      <c r="C19" s="7">
        <v>657.35</v>
      </c>
      <c r="D19" s="6">
        <v>10892.86</v>
      </c>
      <c r="E19" s="12">
        <f t="shared" si="0"/>
        <v>6.034686941721458E-2</v>
      </c>
    </row>
    <row r="20" spans="1:11" ht="45.6" thickBot="1" x14ac:dyDescent="0.35">
      <c r="A20" s="3">
        <v>17</v>
      </c>
      <c r="B20" s="4" t="s">
        <v>22</v>
      </c>
      <c r="C20" s="6">
        <v>2123.12</v>
      </c>
      <c r="D20" s="7">
        <v>104737.65</v>
      </c>
      <c r="E20" s="12">
        <f t="shared" si="0"/>
        <v>2.0270838614385563E-2</v>
      </c>
      <c r="G20" s="5"/>
      <c r="H20" s="5"/>
    </row>
    <row r="21" spans="1:11" ht="30.6" thickBot="1" x14ac:dyDescent="0.35">
      <c r="A21" s="3">
        <v>17.100000000000001</v>
      </c>
      <c r="B21" s="4" t="s">
        <v>23</v>
      </c>
      <c r="C21" s="7">
        <v>595</v>
      </c>
      <c r="D21" s="6">
        <v>17434.88</v>
      </c>
      <c r="E21" s="12">
        <f t="shared" si="0"/>
        <v>3.4126991410322292E-2</v>
      </c>
      <c r="G21" s="5"/>
      <c r="H21" s="5"/>
    </row>
    <row r="22" spans="1:11" ht="45.6" thickBot="1" x14ac:dyDescent="0.35">
      <c r="A22" s="13">
        <v>17.2</v>
      </c>
      <c r="B22" s="14" t="s">
        <v>24</v>
      </c>
      <c r="C22" s="15">
        <v>94.89</v>
      </c>
      <c r="D22" s="16">
        <v>45214.48</v>
      </c>
      <c r="E22" s="17">
        <f t="shared" si="0"/>
        <v>2.098663967826236E-3</v>
      </c>
      <c r="G22" s="5"/>
      <c r="H22" s="5"/>
    </row>
    <row r="23" spans="1:11" ht="45.6" thickBot="1" x14ac:dyDescent="0.35">
      <c r="A23" s="3">
        <v>17.3</v>
      </c>
      <c r="B23" s="4" t="s">
        <v>25</v>
      </c>
      <c r="C23" s="7">
        <v>398.91</v>
      </c>
      <c r="D23" s="6">
        <v>24706.09</v>
      </c>
      <c r="E23" s="12">
        <f t="shared" si="0"/>
        <v>1.6146221437710297E-2</v>
      </c>
      <c r="G23" s="5"/>
      <c r="H23" s="5"/>
    </row>
    <row r="24" spans="1:11" ht="15.6" thickBot="1" x14ac:dyDescent="0.35">
      <c r="A24" s="3">
        <v>18</v>
      </c>
      <c r="B24" s="4" t="s">
        <v>26</v>
      </c>
      <c r="C24" s="7">
        <v>802.82</v>
      </c>
      <c r="D24" s="6">
        <v>7585.66</v>
      </c>
      <c r="E24" s="12">
        <f t="shared" si="0"/>
        <v>0.10583390238950863</v>
      </c>
      <c r="G24" s="5"/>
      <c r="H24" s="5"/>
    </row>
    <row r="25" spans="1:11" ht="45.6" thickBot="1" x14ac:dyDescent="0.35">
      <c r="A25" s="3">
        <v>19</v>
      </c>
      <c r="B25" s="4" t="s">
        <v>27</v>
      </c>
      <c r="C25" s="7">
        <v>176.03</v>
      </c>
      <c r="D25" s="6">
        <v>2335.4499999999998</v>
      </c>
      <c r="E25" s="12">
        <f t="shared" si="0"/>
        <v>7.5373054443469145E-2</v>
      </c>
      <c r="G25" s="5"/>
      <c r="H25" s="5"/>
    </row>
    <row r="26" spans="1:11" ht="30.6" thickBot="1" x14ac:dyDescent="0.35">
      <c r="A26" s="3">
        <v>20</v>
      </c>
      <c r="B26" s="4" t="s">
        <v>28</v>
      </c>
      <c r="C26" s="6">
        <v>1400.78</v>
      </c>
      <c r="D26" s="6">
        <v>11733.27</v>
      </c>
      <c r="E26" s="12">
        <f t="shared" si="0"/>
        <v>0.11938530350021775</v>
      </c>
      <c r="G26" s="5"/>
      <c r="H26" s="5"/>
    </row>
    <row r="27" spans="1:11" ht="15.6" thickBot="1" x14ac:dyDescent="0.35">
      <c r="A27" s="3">
        <v>21</v>
      </c>
      <c r="B27" s="4" t="s">
        <v>29</v>
      </c>
      <c r="C27" s="6">
        <v>1287.21</v>
      </c>
      <c r="D27" s="6">
        <v>41067.29</v>
      </c>
      <c r="E27" s="12">
        <f t="shared" si="0"/>
        <v>3.1343923594666215E-2</v>
      </c>
      <c r="G27" s="5"/>
      <c r="H27" s="5"/>
    </row>
    <row r="28" spans="1:11" ht="15.6" thickBot="1" x14ac:dyDescent="0.35">
      <c r="A28" s="13">
        <v>22</v>
      </c>
      <c r="B28" s="14" t="s">
        <v>30</v>
      </c>
      <c r="C28" s="15">
        <v>304.27999999999997</v>
      </c>
      <c r="D28" s="16">
        <v>85727.91</v>
      </c>
      <c r="E28" s="17">
        <f t="shared" si="0"/>
        <v>3.5493691611051753E-3</v>
      </c>
      <c r="G28" s="5"/>
      <c r="H28" s="5"/>
    </row>
    <row r="29" spans="1:11" ht="30.6" thickBot="1" x14ac:dyDescent="0.35">
      <c r="A29" s="13">
        <v>23</v>
      </c>
      <c r="B29" s="14" t="s">
        <v>31</v>
      </c>
      <c r="C29" s="15">
        <v>880.23</v>
      </c>
      <c r="D29" s="16">
        <v>17959.759999999998</v>
      </c>
      <c r="E29" s="17">
        <f t="shared" si="0"/>
        <v>4.9011234003126999E-2</v>
      </c>
      <c r="G29" s="5"/>
      <c r="H29" s="5"/>
    </row>
    <row r="30" spans="1:11" ht="30.6" thickBot="1" x14ac:dyDescent="0.35">
      <c r="A30" s="3">
        <v>24</v>
      </c>
      <c r="B30" s="4" t="s">
        <v>32</v>
      </c>
      <c r="C30" s="7">
        <v>10.18</v>
      </c>
      <c r="D30" s="6">
        <v>2050.4899999999998</v>
      </c>
      <c r="E30" s="12">
        <f t="shared" si="0"/>
        <v>4.9646669820384397E-3</v>
      </c>
      <c r="G30" s="5"/>
      <c r="H30" s="5"/>
    </row>
    <row r="31" spans="1:11" ht="15.6" thickBot="1" x14ac:dyDescent="0.35">
      <c r="A31" s="3">
        <v>25</v>
      </c>
      <c r="B31" s="4" t="s">
        <v>33</v>
      </c>
      <c r="C31" s="6">
        <v>21907.55</v>
      </c>
      <c r="D31" s="7">
        <v>371369.89</v>
      </c>
      <c r="E31" s="12">
        <f>C31/D31</f>
        <v>5.8991185311227032E-2</v>
      </c>
      <c r="G31" s="5"/>
      <c r="H31" s="5"/>
    </row>
    <row r="32" spans="1:11" ht="30.6" thickBot="1" x14ac:dyDescent="0.35">
      <c r="A32" s="3">
        <v>25.1</v>
      </c>
      <c r="B32" s="4" t="s">
        <v>34</v>
      </c>
      <c r="C32" s="6">
        <v>5829.66</v>
      </c>
      <c r="D32" s="7">
        <v>193567.21</v>
      </c>
      <c r="E32" s="12">
        <f t="shared" si="0"/>
        <v>3.0116981073395645E-2</v>
      </c>
      <c r="G32" s="5"/>
      <c r="H32" s="5"/>
      <c r="I32" s="5"/>
      <c r="J32" s="5"/>
      <c r="K32" s="5"/>
    </row>
    <row r="33" spans="1:11" ht="45.6" thickBot="1" x14ac:dyDescent="0.35">
      <c r="A33" s="3">
        <v>25.2</v>
      </c>
      <c r="B33" s="4" t="s">
        <v>35</v>
      </c>
      <c r="C33" s="6">
        <v>2216.36</v>
      </c>
      <c r="D33" s="6">
        <v>31564.77</v>
      </c>
      <c r="E33" s="12">
        <f t="shared" si="0"/>
        <v>7.0216256921878412E-2</v>
      </c>
      <c r="G33" s="5"/>
      <c r="H33" s="5"/>
      <c r="I33" s="5"/>
      <c r="J33" s="5"/>
      <c r="K33" s="5"/>
    </row>
    <row r="34" spans="1:11" ht="30.6" thickBot="1" x14ac:dyDescent="0.35">
      <c r="A34" s="3">
        <v>25.3</v>
      </c>
      <c r="B34" s="4" t="s">
        <v>36</v>
      </c>
      <c r="C34" s="6">
        <v>7803.97</v>
      </c>
      <c r="D34" s="6">
        <v>98350.43</v>
      </c>
      <c r="E34" s="12">
        <f t="shared" si="0"/>
        <v>7.9348610880501491E-2</v>
      </c>
      <c r="G34" s="5"/>
      <c r="H34" s="5"/>
      <c r="I34" s="5"/>
      <c r="J34" s="5"/>
      <c r="K34" s="5"/>
    </row>
    <row r="35" spans="1:11" ht="30.6" thickBot="1" x14ac:dyDescent="0.35">
      <c r="A35" s="3">
        <v>26</v>
      </c>
      <c r="B35" s="4" t="s">
        <v>37</v>
      </c>
      <c r="C35" s="6">
        <v>30409.47</v>
      </c>
      <c r="D35" s="7">
        <v>516743.35</v>
      </c>
      <c r="E35" s="12">
        <f t="shared" si="0"/>
        <v>5.8848304482292807E-2</v>
      </c>
      <c r="G35" s="5"/>
      <c r="H35" s="5"/>
      <c r="I35" s="5"/>
      <c r="J35" s="5"/>
      <c r="K35" s="5"/>
    </row>
    <row r="36" spans="1:11" ht="30.6" thickBot="1" x14ac:dyDescent="0.35">
      <c r="A36" s="3">
        <v>27</v>
      </c>
      <c r="B36" s="4" t="s">
        <v>38</v>
      </c>
      <c r="C36" s="6">
        <v>13131.46</v>
      </c>
      <c r="D36" s="7">
        <v>507556.2</v>
      </c>
      <c r="E36" s="12">
        <f t="shared" si="0"/>
        <v>2.5871932999734806E-2</v>
      </c>
      <c r="G36" s="5"/>
      <c r="H36" s="5"/>
      <c r="I36" s="5"/>
      <c r="J36" s="5"/>
      <c r="K36" s="5"/>
    </row>
    <row r="37" spans="1:11" ht="30.6" thickBot="1" x14ac:dyDescent="0.35">
      <c r="A37" s="3">
        <v>28</v>
      </c>
      <c r="B37" s="4" t="s">
        <v>39</v>
      </c>
      <c r="C37" s="6">
        <v>12883.94</v>
      </c>
      <c r="D37" s="7">
        <v>1261713.98</v>
      </c>
      <c r="E37" s="12">
        <f t="shared" si="0"/>
        <v>1.0211458543084384E-2</v>
      </c>
      <c r="G37" s="5"/>
      <c r="H37" s="5"/>
      <c r="I37" s="5"/>
      <c r="J37" s="5"/>
      <c r="K37" s="5"/>
    </row>
    <row r="38" spans="1:11" ht="31.8" thickBot="1" x14ac:dyDescent="0.35">
      <c r="A38" s="8"/>
      <c r="B38" s="9" t="s">
        <v>4</v>
      </c>
      <c r="C38" s="11">
        <v>99299.36</v>
      </c>
      <c r="D38" s="10" t="s">
        <v>40</v>
      </c>
      <c r="E38" s="7"/>
      <c r="G38" s="5"/>
      <c r="H38" s="5"/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7913-A2DB-46DE-9FB7-00D383C0BA18}">
  <dimension ref="D2:Q41"/>
  <sheetViews>
    <sheetView workbookViewId="0">
      <selection activeCell="M2" sqref="M2:Q2"/>
    </sheetView>
  </sheetViews>
  <sheetFormatPr defaultRowHeight="14.4" x14ac:dyDescent="0.3"/>
  <cols>
    <col min="17" max="17" width="14.5546875" bestFit="1" customWidth="1"/>
  </cols>
  <sheetData>
    <row r="2" spans="4:17" x14ac:dyDescent="0.3">
      <c r="D2" s="29" t="s">
        <v>48</v>
      </c>
      <c r="E2" s="29"/>
      <c r="F2" s="29"/>
      <c r="G2" s="29"/>
      <c r="H2" s="29"/>
      <c r="I2" s="29"/>
      <c r="M2" s="29" t="s">
        <v>50</v>
      </c>
      <c r="N2" s="29"/>
      <c r="O2" s="29"/>
      <c r="P2" s="29"/>
      <c r="Q2" s="29"/>
    </row>
    <row r="3" spans="4:17" ht="15" thickBot="1" x14ac:dyDescent="0.35"/>
    <row r="4" spans="4:17" ht="31.2" customHeight="1" thickBot="1" x14ac:dyDescent="0.35">
      <c r="D4" s="18" t="s">
        <v>0</v>
      </c>
      <c r="E4" s="20" t="s">
        <v>1</v>
      </c>
      <c r="F4" s="27" t="s">
        <v>2</v>
      </c>
      <c r="G4" s="26"/>
      <c r="H4" s="28"/>
      <c r="I4" s="18" t="s">
        <v>46</v>
      </c>
      <c r="M4" s="18" t="s">
        <v>0</v>
      </c>
      <c r="N4" s="20" t="s">
        <v>1</v>
      </c>
      <c r="O4" s="20" t="s">
        <v>3</v>
      </c>
      <c r="P4" s="20" t="s">
        <v>4</v>
      </c>
      <c r="Q4" s="20" t="s">
        <v>49</v>
      </c>
    </row>
    <row r="5" spans="4:17" ht="31.8" thickBot="1" x14ac:dyDescent="0.35">
      <c r="D5" s="19"/>
      <c r="E5" s="21"/>
      <c r="F5" s="25" t="s">
        <v>47</v>
      </c>
      <c r="G5" s="1" t="s">
        <v>3</v>
      </c>
      <c r="H5" s="2" t="s">
        <v>4</v>
      </c>
      <c r="I5" s="19"/>
      <c r="M5" s="19"/>
      <c r="N5" s="21"/>
      <c r="O5" s="21"/>
      <c r="P5" s="21"/>
      <c r="Q5" s="21"/>
    </row>
    <row r="6" spans="4:17" ht="15.6" thickBot="1" x14ac:dyDescent="0.35">
      <c r="D6" s="3">
        <v>1</v>
      </c>
      <c r="E6" s="4" t="s">
        <v>5</v>
      </c>
      <c r="F6" s="7">
        <v>2243.5700000000002</v>
      </c>
      <c r="G6" s="7">
        <v>1240.5999999999999</v>
      </c>
      <c r="H6" s="7">
        <v>3484.17</v>
      </c>
      <c r="I6" s="7">
        <v>2416.8000000000002</v>
      </c>
      <c r="M6" s="3">
        <v>1</v>
      </c>
      <c r="N6" s="4" t="s">
        <v>5</v>
      </c>
      <c r="O6" s="7">
        <v>1240.5999999999999</v>
      </c>
      <c r="P6" s="7">
        <v>3484.17</v>
      </c>
      <c r="Q6" s="30">
        <f>O6/P6</f>
        <v>0.35606758568037722</v>
      </c>
    </row>
    <row r="7" spans="4:17" ht="15.6" thickBot="1" x14ac:dyDescent="0.35">
      <c r="D7" s="3">
        <v>2</v>
      </c>
      <c r="E7" s="4" t="s">
        <v>6</v>
      </c>
      <c r="F7" s="7">
        <v>4911.17</v>
      </c>
      <c r="G7" s="7">
        <v>507.39</v>
      </c>
      <c r="H7" s="7">
        <v>5418.56</v>
      </c>
      <c r="I7" s="7">
        <v>2212.25</v>
      </c>
      <c r="M7" s="3">
        <v>2</v>
      </c>
      <c r="N7" s="4" t="s">
        <v>6</v>
      </c>
      <c r="O7" s="7">
        <v>507.39</v>
      </c>
      <c r="P7" s="7">
        <v>5418.56</v>
      </c>
      <c r="Q7" s="30">
        <f t="shared" ref="Q7:Q41" si="0">O7/P7</f>
        <v>9.3639269473808531E-2</v>
      </c>
    </row>
    <row r="8" spans="4:17" ht="30.6" thickBot="1" x14ac:dyDescent="0.35">
      <c r="D8" s="3">
        <v>3</v>
      </c>
      <c r="E8" s="4" t="s">
        <v>7</v>
      </c>
      <c r="F8" s="7">
        <v>71119.25</v>
      </c>
      <c r="G8" s="7">
        <v>53247.37</v>
      </c>
      <c r="H8" s="7">
        <v>124366.62</v>
      </c>
      <c r="I8" s="7">
        <v>21967.17</v>
      </c>
      <c r="M8" s="3">
        <v>3</v>
      </c>
      <c r="N8" s="4" t="s">
        <v>7</v>
      </c>
      <c r="O8" s="7">
        <v>53247.37</v>
      </c>
      <c r="P8" s="7">
        <v>124366.62</v>
      </c>
      <c r="Q8" s="30">
        <f t="shared" si="0"/>
        <v>0.42814840509455032</v>
      </c>
    </row>
    <row r="9" spans="4:17" ht="45.6" thickBot="1" x14ac:dyDescent="0.35">
      <c r="D9" s="3">
        <v>4</v>
      </c>
      <c r="E9" s="4" t="s">
        <v>8</v>
      </c>
      <c r="F9" s="7">
        <v>31452.32</v>
      </c>
      <c r="G9" s="7">
        <v>4151.9399999999996</v>
      </c>
      <c r="H9" s="7">
        <v>35604.26</v>
      </c>
      <c r="I9" s="7">
        <v>6590.78</v>
      </c>
      <c r="M9" s="3">
        <v>4</v>
      </c>
      <c r="N9" s="4" t="s">
        <v>8</v>
      </c>
      <c r="O9" s="7">
        <v>4151.9399999999996</v>
      </c>
      <c r="P9" s="7">
        <v>35604.26</v>
      </c>
      <c r="Q9" s="30">
        <f t="shared" si="0"/>
        <v>0.11661357376898156</v>
      </c>
    </row>
    <row r="10" spans="4:17" ht="45.6" thickBot="1" x14ac:dyDescent="0.35">
      <c r="D10" s="3">
        <v>5</v>
      </c>
      <c r="E10" s="4" t="s">
        <v>9</v>
      </c>
      <c r="F10" s="7">
        <v>26171.53</v>
      </c>
      <c r="G10" s="7">
        <v>12020.85</v>
      </c>
      <c r="H10" s="7">
        <v>38192.379999999997</v>
      </c>
      <c r="I10" s="7">
        <v>73267.7</v>
      </c>
      <c r="M10" s="3">
        <v>5</v>
      </c>
      <c r="N10" s="4" t="s">
        <v>9</v>
      </c>
      <c r="O10" s="7">
        <v>12020.85</v>
      </c>
      <c r="P10" s="7">
        <v>38192.379999999997</v>
      </c>
      <c r="Q10" s="30">
        <f t="shared" si="0"/>
        <v>0.31474472132922854</v>
      </c>
    </row>
    <row r="11" spans="4:17" ht="60.6" thickBot="1" x14ac:dyDescent="0.35">
      <c r="D11" s="3">
        <v>5.0999999999999996</v>
      </c>
      <c r="E11" s="4" t="s">
        <v>10</v>
      </c>
      <c r="F11" s="7">
        <v>3322.73</v>
      </c>
      <c r="G11" s="7">
        <v>3279.81</v>
      </c>
      <c r="H11" s="7">
        <v>6602.54</v>
      </c>
      <c r="I11" s="7">
        <v>3713.83</v>
      </c>
      <c r="M11" s="3">
        <v>5.0999999999999996</v>
      </c>
      <c r="N11" s="4" t="s">
        <v>10</v>
      </c>
      <c r="O11" s="7">
        <v>3279.81</v>
      </c>
      <c r="P11" s="7">
        <v>6602.54</v>
      </c>
      <c r="Q11" s="30">
        <f t="shared" si="0"/>
        <v>0.49674973570777309</v>
      </c>
    </row>
    <row r="12" spans="4:17" ht="30.6" thickBot="1" x14ac:dyDescent="0.35">
      <c r="D12" s="3">
        <v>6</v>
      </c>
      <c r="E12" s="4" t="s">
        <v>11</v>
      </c>
      <c r="F12" s="7">
        <v>3268.46</v>
      </c>
      <c r="G12" s="7">
        <v>0</v>
      </c>
      <c r="H12" s="7">
        <v>3268.46</v>
      </c>
      <c r="I12" s="7">
        <v>55.97</v>
      </c>
      <c r="M12" s="3">
        <v>6</v>
      </c>
      <c r="N12" s="4" t="s">
        <v>11</v>
      </c>
      <c r="O12" s="7">
        <v>0</v>
      </c>
      <c r="P12" s="7">
        <v>3268.46</v>
      </c>
      <c r="Q12" s="30">
        <f t="shared" si="0"/>
        <v>0</v>
      </c>
    </row>
    <row r="13" spans="4:17" ht="30.6" thickBot="1" x14ac:dyDescent="0.35">
      <c r="D13" s="3">
        <v>7</v>
      </c>
      <c r="E13" s="4" t="s">
        <v>12</v>
      </c>
      <c r="F13" s="7">
        <v>24144.32</v>
      </c>
      <c r="G13" s="7">
        <v>11327.8</v>
      </c>
      <c r="H13" s="7">
        <v>35472.120000000003</v>
      </c>
      <c r="I13" s="7">
        <v>1788</v>
      </c>
      <c r="M13" s="3">
        <v>7</v>
      </c>
      <c r="N13" s="4" t="s">
        <v>12</v>
      </c>
      <c r="O13" s="7">
        <v>11327.8</v>
      </c>
      <c r="P13" s="7">
        <v>35472.120000000003</v>
      </c>
      <c r="Q13" s="30">
        <f t="shared" si="0"/>
        <v>0.31934375503916873</v>
      </c>
    </row>
    <row r="14" spans="4:17" ht="30.6" thickBot="1" x14ac:dyDescent="0.35">
      <c r="D14" s="3">
        <v>8</v>
      </c>
      <c r="E14" s="4" t="s">
        <v>13</v>
      </c>
      <c r="F14" s="7">
        <v>414.71</v>
      </c>
      <c r="G14" s="7">
        <v>61.17</v>
      </c>
      <c r="H14" s="7">
        <v>475.88</v>
      </c>
      <c r="I14" s="7">
        <v>37.65</v>
      </c>
      <c r="M14" s="3">
        <v>8</v>
      </c>
      <c r="N14" s="4" t="s">
        <v>13</v>
      </c>
      <c r="O14" s="7">
        <v>61.17</v>
      </c>
      <c r="P14" s="7">
        <v>475.88</v>
      </c>
      <c r="Q14" s="30">
        <f t="shared" si="0"/>
        <v>0.1285408086072119</v>
      </c>
    </row>
    <row r="15" spans="4:17" ht="30.6" thickBot="1" x14ac:dyDescent="0.35">
      <c r="D15" s="3">
        <v>9</v>
      </c>
      <c r="E15" s="4" t="s">
        <v>14</v>
      </c>
      <c r="F15" s="7">
        <v>13597.23</v>
      </c>
      <c r="G15" s="7">
        <v>3565.1</v>
      </c>
      <c r="H15" s="7">
        <v>17162.330000000002</v>
      </c>
      <c r="I15" s="7">
        <v>1806.73</v>
      </c>
      <c r="M15" s="3">
        <v>9</v>
      </c>
      <c r="N15" s="4" t="s">
        <v>14</v>
      </c>
      <c r="O15" s="7">
        <v>3565.1</v>
      </c>
      <c r="P15" s="7">
        <v>17162.330000000002</v>
      </c>
      <c r="Q15" s="30">
        <f t="shared" si="0"/>
        <v>0.2077282047367694</v>
      </c>
    </row>
    <row r="16" spans="4:17" ht="15.6" thickBot="1" x14ac:dyDescent="0.35">
      <c r="D16" s="3">
        <v>10</v>
      </c>
      <c r="E16" s="4" t="s">
        <v>15</v>
      </c>
      <c r="F16" s="7">
        <v>6687.3</v>
      </c>
      <c r="G16" s="7">
        <v>678.67</v>
      </c>
      <c r="H16" s="7">
        <v>7365.97</v>
      </c>
      <c r="I16" s="7">
        <v>1038.73</v>
      </c>
      <c r="M16" s="3">
        <v>10</v>
      </c>
      <c r="N16" s="4" t="s">
        <v>15</v>
      </c>
      <c r="O16" s="7">
        <v>678.67</v>
      </c>
      <c r="P16" s="7">
        <v>7365.97</v>
      </c>
      <c r="Q16" s="30">
        <f t="shared" si="0"/>
        <v>9.2135862622302278E-2</v>
      </c>
    </row>
    <row r="17" spans="4:17" ht="15.6" thickBot="1" x14ac:dyDescent="0.35">
      <c r="D17" s="3">
        <v>11</v>
      </c>
      <c r="E17" s="4" t="s">
        <v>16</v>
      </c>
      <c r="F17" s="7">
        <v>579.29999999999995</v>
      </c>
      <c r="G17" s="7">
        <v>173.32</v>
      </c>
      <c r="H17" s="7">
        <v>752.62</v>
      </c>
      <c r="I17" s="7">
        <v>93.34</v>
      </c>
      <c r="M17" s="3">
        <v>11</v>
      </c>
      <c r="N17" s="4" t="s">
        <v>16</v>
      </c>
      <c r="O17" s="7">
        <v>173.32</v>
      </c>
      <c r="P17" s="7">
        <v>752.62</v>
      </c>
      <c r="Q17" s="30">
        <f t="shared" si="0"/>
        <v>0.23028885759081608</v>
      </c>
    </row>
    <row r="18" spans="4:17" ht="45.6" thickBot="1" x14ac:dyDescent="0.35">
      <c r="D18" s="3">
        <v>12</v>
      </c>
      <c r="E18" s="4" t="s">
        <v>17</v>
      </c>
      <c r="F18" s="7">
        <v>49482.8</v>
      </c>
      <c r="G18" s="7">
        <v>8906.91</v>
      </c>
      <c r="H18" s="7">
        <v>58389.71</v>
      </c>
      <c r="I18" s="7">
        <v>2423.0500000000002</v>
      </c>
      <c r="M18" s="3">
        <v>12</v>
      </c>
      <c r="N18" s="4" t="s">
        <v>17</v>
      </c>
      <c r="O18" s="7">
        <v>8906.91</v>
      </c>
      <c r="P18" s="7">
        <v>58389.71</v>
      </c>
      <c r="Q18" s="30">
        <f t="shared" si="0"/>
        <v>0.15254245996426424</v>
      </c>
    </row>
    <row r="19" spans="4:17" ht="60.6" thickBot="1" x14ac:dyDescent="0.35">
      <c r="D19" s="3">
        <v>13</v>
      </c>
      <c r="E19" s="4" t="s">
        <v>18</v>
      </c>
      <c r="F19" s="7">
        <v>3899.65</v>
      </c>
      <c r="G19" s="7">
        <v>2548.4499999999998</v>
      </c>
      <c r="H19" s="7">
        <v>6448.1</v>
      </c>
      <c r="I19" s="7">
        <v>2222.4499999999998</v>
      </c>
      <c r="M19" s="3">
        <v>13</v>
      </c>
      <c r="N19" s="4" t="s">
        <v>18</v>
      </c>
      <c r="O19" s="7">
        <v>2548.4499999999998</v>
      </c>
      <c r="P19" s="7">
        <v>6448.1</v>
      </c>
      <c r="Q19" s="30">
        <f t="shared" si="0"/>
        <v>0.39522494998526692</v>
      </c>
    </row>
    <row r="20" spans="4:17" ht="90.6" thickBot="1" x14ac:dyDescent="0.35">
      <c r="D20" s="3">
        <v>14</v>
      </c>
      <c r="E20" s="4" t="s">
        <v>19</v>
      </c>
      <c r="F20" s="7">
        <v>485.34</v>
      </c>
      <c r="G20" s="7">
        <v>22.46</v>
      </c>
      <c r="H20" s="7">
        <v>507.8</v>
      </c>
      <c r="I20" s="7">
        <v>292.2</v>
      </c>
      <c r="M20" s="3">
        <v>14</v>
      </c>
      <c r="N20" s="4" t="s">
        <v>19</v>
      </c>
      <c r="O20" s="7">
        <v>22.46</v>
      </c>
      <c r="P20" s="7">
        <v>507.8</v>
      </c>
      <c r="Q20" s="30">
        <f t="shared" si="0"/>
        <v>4.4230011815675464E-2</v>
      </c>
    </row>
    <row r="21" spans="4:17" ht="60.6" thickBot="1" x14ac:dyDescent="0.35">
      <c r="D21" s="3">
        <v>15</v>
      </c>
      <c r="E21" s="4" t="s">
        <v>20</v>
      </c>
      <c r="F21" s="7">
        <v>3903.85</v>
      </c>
      <c r="G21" s="7">
        <v>878.25</v>
      </c>
      <c r="H21" s="7">
        <v>4782.1000000000004</v>
      </c>
      <c r="I21" s="7">
        <v>885.8</v>
      </c>
      <c r="M21" s="3">
        <v>15</v>
      </c>
      <c r="N21" s="4" t="s">
        <v>20</v>
      </c>
      <c r="O21" s="7">
        <v>878.25</v>
      </c>
      <c r="P21" s="7">
        <v>4782.1000000000004</v>
      </c>
      <c r="Q21" s="30">
        <f t="shared" si="0"/>
        <v>0.18365362497647475</v>
      </c>
    </row>
    <row r="22" spans="4:17" ht="75.599999999999994" thickBot="1" x14ac:dyDescent="0.35">
      <c r="D22" s="3">
        <v>16</v>
      </c>
      <c r="E22" s="4" t="s">
        <v>21</v>
      </c>
      <c r="F22" s="7">
        <v>8257.65</v>
      </c>
      <c r="G22" s="7">
        <v>648.08000000000004</v>
      </c>
      <c r="H22" s="7">
        <v>8905.73</v>
      </c>
      <c r="I22" s="7">
        <v>2303.52</v>
      </c>
      <c r="M22" s="3">
        <v>16</v>
      </c>
      <c r="N22" s="4" t="s">
        <v>21</v>
      </c>
      <c r="O22" s="7">
        <v>648.08000000000004</v>
      </c>
      <c r="P22" s="7">
        <v>8905.73</v>
      </c>
      <c r="Q22" s="30">
        <f t="shared" si="0"/>
        <v>7.2771126005392039E-2</v>
      </c>
    </row>
    <row r="23" spans="4:17" ht="75.599999999999994" thickBot="1" x14ac:dyDescent="0.35">
      <c r="D23" s="3">
        <v>17</v>
      </c>
      <c r="E23" s="4" t="s">
        <v>22</v>
      </c>
      <c r="F23" s="7">
        <v>87274.81</v>
      </c>
      <c r="G23" s="7">
        <v>3830.02</v>
      </c>
      <c r="H23" s="7">
        <v>91104.83</v>
      </c>
      <c r="I23" s="7">
        <v>48873.24</v>
      </c>
      <c r="M23" s="3">
        <v>17</v>
      </c>
      <c r="N23" s="4" t="s">
        <v>22</v>
      </c>
      <c r="O23" s="7">
        <v>3830.02</v>
      </c>
      <c r="P23" s="7">
        <v>91104.83</v>
      </c>
      <c r="Q23" s="30">
        <f t="shared" si="0"/>
        <v>4.2039703054162991E-2</v>
      </c>
    </row>
    <row r="24" spans="4:17" ht="60.6" thickBot="1" x14ac:dyDescent="0.35">
      <c r="D24" s="3">
        <v>17.100000000000001</v>
      </c>
      <c r="E24" s="4" t="s">
        <v>23</v>
      </c>
      <c r="F24" s="7">
        <v>14339.99</v>
      </c>
      <c r="G24" s="7">
        <v>424.05</v>
      </c>
      <c r="H24" s="7">
        <v>14764.04</v>
      </c>
      <c r="I24" s="7">
        <v>4216.0600000000004</v>
      </c>
      <c r="M24" s="3">
        <v>17.100000000000001</v>
      </c>
      <c r="N24" s="4" t="s">
        <v>23</v>
      </c>
      <c r="O24" s="7">
        <v>424.05</v>
      </c>
      <c r="P24" s="7">
        <v>14764.04</v>
      </c>
      <c r="Q24" s="30">
        <f t="shared" si="0"/>
        <v>2.8721813270622402E-2</v>
      </c>
    </row>
    <row r="25" spans="4:17" ht="60.6" thickBot="1" x14ac:dyDescent="0.35">
      <c r="D25" s="3">
        <v>17.2</v>
      </c>
      <c r="E25" s="4" t="s">
        <v>24</v>
      </c>
      <c r="F25" s="7">
        <v>45727.91</v>
      </c>
      <c r="G25" s="7">
        <v>321.86</v>
      </c>
      <c r="H25" s="7">
        <v>46049.77</v>
      </c>
      <c r="I25" s="7">
        <v>38585.699999999997</v>
      </c>
      <c r="M25" s="3">
        <v>17.2</v>
      </c>
      <c r="N25" s="4" t="s">
        <v>24</v>
      </c>
      <c r="O25" s="7">
        <v>321.86</v>
      </c>
      <c r="P25" s="7">
        <v>46049.77</v>
      </c>
      <c r="Q25" s="30">
        <f t="shared" si="0"/>
        <v>6.9893943009921664E-3</v>
      </c>
    </row>
    <row r="26" spans="4:17" ht="75.599999999999994" thickBot="1" x14ac:dyDescent="0.35">
      <c r="D26" s="3">
        <v>17.3</v>
      </c>
      <c r="E26" s="4" t="s">
        <v>25</v>
      </c>
      <c r="F26" s="7">
        <v>9900.18</v>
      </c>
      <c r="G26" s="7">
        <v>1904.78</v>
      </c>
      <c r="H26" s="7">
        <v>11804.96</v>
      </c>
      <c r="I26" s="7">
        <v>1649.65</v>
      </c>
      <c r="M26" s="3">
        <v>17.3</v>
      </c>
      <c r="N26" s="4" t="s">
        <v>25</v>
      </c>
      <c r="O26" s="7">
        <v>1904.78</v>
      </c>
      <c r="P26" s="7">
        <v>11804.96</v>
      </c>
      <c r="Q26" s="30">
        <f t="shared" si="0"/>
        <v>0.16135421043358047</v>
      </c>
    </row>
    <row r="27" spans="4:17" ht="15.6" thickBot="1" x14ac:dyDescent="0.35">
      <c r="D27" s="3">
        <v>18</v>
      </c>
      <c r="E27" s="4" t="s">
        <v>26</v>
      </c>
      <c r="F27" s="7">
        <v>8203.65</v>
      </c>
      <c r="G27" s="7">
        <v>1089.6500000000001</v>
      </c>
      <c r="H27" s="7">
        <v>9293.2999999999993</v>
      </c>
      <c r="I27" s="7">
        <v>3550.24</v>
      </c>
      <c r="M27" s="3">
        <v>18</v>
      </c>
      <c r="N27" s="4" t="s">
        <v>26</v>
      </c>
      <c r="O27" s="7">
        <v>1089.6500000000001</v>
      </c>
      <c r="P27" s="7">
        <v>9293.2999999999993</v>
      </c>
      <c r="Q27" s="30">
        <f t="shared" si="0"/>
        <v>0.11725113791656357</v>
      </c>
    </row>
    <row r="28" spans="4:17" ht="75.599999999999994" thickBot="1" x14ac:dyDescent="0.35">
      <c r="D28" s="3">
        <v>19</v>
      </c>
      <c r="E28" s="4" t="s">
        <v>27</v>
      </c>
      <c r="F28" s="7">
        <v>2429.25</v>
      </c>
      <c r="G28" s="7">
        <v>277.68</v>
      </c>
      <c r="H28" s="7">
        <v>2706.93</v>
      </c>
      <c r="I28" s="7">
        <v>362.01</v>
      </c>
      <c r="M28" s="3">
        <v>19</v>
      </c>
      <c r="N28" s="4" t="s">
        <v>27</v>
      </c>
      <c r="O28" s="7">
        <v>277.68</v>
      </c>
      <c r="P28" s="7">
        <v>2706.93</v>
      </c>
      <c r="Q28" s="30">
        <f t="shared" si="0"/>
        <v>0.102581152818876</v>
      </c>
    </row>
    <row r="29" spans="4:17" ht="60.6" thickBot="1" x14ac:dyDescent="0.35">
      <c r="D29" s="3">
        <v>20</v>
      </c>
      <c r="E29" s="4" t="s">
        <v>28</v>
      </c>
      <c r="F29" s="7">
        <v>12693.13</v>
      </c>
      <c r="G29" s="7">
        <v>2242.65</v>
      </c>
      <c r="H29" s="7">
        <v>14935.78</v>
      </c>
      <c r="I29" s="7">
        <v>2488.56</v>
      </c>
      <c r="M29" s="3">
        <v>20</v>
      </c>
      <c r="N29" s="4" t="s">
        <v>28</v>
      </c>
      <c r="O29" s="7">
        <v>2242.65</v>
      </c>
      <c r="P29" s="7">
        <v>14935.78</v>
      </c>
      <c r="Q29" s="30">
        <f t="shared" si="0"/>
        <v>0.15015285442072659</v>
      </c>
    </row>
    <row r="30" spans="4:17" ht="30.6" thickBot="1" x14ac:dyDescent="0.35">
      <c r="D30" s="3">
        <v>21</v>
      </c>
      <c r="E30" s="4" t="s">
        <v>29</v>
      </c>
      <c r="F30" s="7">
        <v>24910.98</v>
      </c>
      <c r="G30" s="7">
        <v>1823.43</v>
      </c>
      <c r="H30" s="7">
        <v>26734.41</v>
      </c>
      <c r="I30" s="7">
        <v>6708.64</v>
      </c>
      <c r="M30" s="3">
        <v>21</v>
      </c>
      <c r="N30" s="4" t="s">
        <v>29</v>
      </c>
      <c r="O30" s="7">
        <v>1823.43</v>
      </c>
      <c r="P30" s="7">
        <v>26734.41</v>
      </c>
      <c r="Q30" s="30">
        <f t="shared" si="0"/>
        <v>6.82053578141429E-2</v>
      </c>
    </row>
    <row r="31" spans="4:17" ht="30.6" thickBot="1" x14ac:dyDescent="0.35">
      <c r="D31" s="3">
        <v>22</v>
      </c>
      <c r="E31" s="4" t="s">
        <v>30</v>
      </c>
      <c r="F31" s="7">
        <v>28474.74</v>
      </c>
      <c r="G31" s="7">
        <v>4084.51</v>
      </c>
      <c r="H31" s="7">
        <v>32559.25</v>
      </c>
      <c r="I31" s="7">
        <v>18721.099999999999</v>
      </c>
      <c r="M31" s="3">
        <v>22</v>
      </c>
      <c r="N31" s="4" t="s">
        <v>30</v>
      </c>
      <c r="O31" s="7">
        <v>4084.51</v>
      </c>
      <c r="P31" s="7">
        <v>32559.25</v>
      </c>
      <c r="Q31" s="30">
        <f t="shared" si="0"/>
        <v>0.12544852845197602</v>
      </c>
    </row>
    <row r="32" spans="4:17" ht="45.6" thickBot="1" x14ac:dyDescent="0.35">
      <c r="D32" s="3">
        <v>23</v>
      </c>
      <c r="E32" s="4" t="s">
        <v>31</v>
      </c>
      <c r="F32" s="7">
        <v>9589.81</v>
      </c>
      <c r="G32" s="7">
        <v>3628.03</v>
      </c>
      <c r="H32" s="7">
        <v>13217.84</v>
      </c>
      <c r="I32" s="7">
        <v>6212.1</v>
      </c>
      <c r="M32" s="3">
        <v>23</v>
      </c>
      <c r="N32" s="4" t="s">
        <v>31</v>
      </c>
      <c r="O32" s="7">
        <v>3628.03</v>
      </c>
      <c r="P32" s="7">
        <v>13217.84</v>
      </c>
      <c r="Q32" s="30">
        <f t="shared" si="0"/>
        <v>0.27447979397541505</v>
      </c>
    </row>
    <row r="33" spans="4:17" ht="60.6" thickBot="1" x14ac:dyDescent="0.35">
      <c r="D33" s="3">
        <v>24</v>
      </c>
      <c r="E33" s="4" t="s">
        <v>32</v>
      </c>
      <c r="F33" s="7">
        <v>2570.21</v>
      </c>
      <c r="G33" s="7">
        <v>70.69</v>
      </c>
      <c r="H33" s="7">
        <v>2640.9</v>
      </c>
      <c r="I33" s="7">
        <v>1241.9100000000001</v>
      </c>
      <c r="M33" s="3">
        <v>24</v>
      </c>
      <c r="N33" s="4" t="s">
        <v>32</v>
      </c>
      <c r="O33" s="7">
        <v>70.69</v>
      </c>
      <c r="P33" s="7">
        <v>2640.9</v>
      </c>
      <c r="Q33" s="30">
        <f t="shared" si="0"/>
        <v>2.6767389904956643E-2</v>
      </c>
    </row>
    <row r="34" spans="4:17" ht="30.6" thickBot="1" x14ac:dyDescent="0.35">
      <c r="D34" s="3">
        <v>25</v>
      </c>
      <c r="E34" s="4" t="s">
        <v>33</v>
      </c>
      <c r="F34" s="7">
        <v>222107.72</v>
      </c>
      <c r="G34" s="7">
        <v>58206.11</v>
      </c>
      <c r="H34" s="7">
        <v>280313.83</v>
      </c>
      <c r="I34" s="7">
        <v>91144.46</v>
      </c>
      <c r="M34" s="3">
        <v>25</v>
      </c>
      <c r="N34" s="4" t="s">
        <v>33</v>
      </c>
      <c r="O34" s="7">
        <v>58206.11</v>
      </c>
      <c r="P34" s="7">
        <v>280313.83</v>
      </c>
      <c r="Q34" s="30">
        <f t="shared" si="0"/>
        <v>0.20764622994163362</v>
      </c>
    </row>
    <row r="35" spans="4:17" ht="45.6" thickBot="1" x14ac:dyDescent="0.35">
      <c r="D35" s="3">
        <v>25.1</v>
      </c>
      <c r="E35" s="4" t="s">
        <v>34</v>
      </c>
      <c r="F35" s="7">
        <v>145270.79</v>
      </c>
      <c r="G35" s="7">
        <v>31708.25</v>
      </c>
      <c r="H35" s="7">
        <v>176979.04</v>
      </c>
      <c r="I35" s="7">
        <v>28453.01</v>
      </c>
      <c r="M35" s="3">
        <v>25.1</v>
      </c>
      <c r="N35" s="4" t="s">
        <v>34</v>
      </c>
      <c r="O35" s="7">
        <v>31708.25</v>
      </c>
      <c r="P35" s="7">
        <v>176979.04</v>
      </c>
      <c r="Q35" s="30">
        <f t="shared" si="0"/>
        <v>0.17916387160875094</v>
      </c>
    </row>
    <row r="36" spans="4:17" ht="75.599999999999994" thickBot="1" x14ac:dyDescent="0.35">
      <c r="D36" s="3">
        <v>25.2</v>
      </c>
      <c r="E36" s="4" t="s">
        <v>35</v>
      </c>
      <c r="F36" s="7">
        <v>13059.3</v>
      </c>
      <c r="G36" s="7">
        <v>8573.0300000000007</v>
      </c>
      <c r="H36" s="7">
        <v>21632.33</v>
      </c>
      <c r="I36" s="7">
        <v>14616.17</v>
      </c>
      <c r="M36" s="3">
        <v>25.2</v>
      </c>
      <c r="N36" s="4" t="s">
        <v>35</v>
      </c>
      <c r="O36" s="7">
        <v>8573.0300000000007</v>
      </c>
      <c r="P36" s="7">
        <v>21632.33</v>
      </c>
      <c r="Q36" s="30">
        <f t="shared" si="0"/>
        <v>0.3963063618204789</v>
      </c>
    </row>
    <row r="37" spans="4:17" ht="60.6" thickBot="1" x14ac:dyDescent="0.35">
      <c r="D37" s="3">
        <v>25.3</v>
      </c>
      <c r="E37" s="4" t="s">
        <v>36</v>
      </c>
      <c r="F37" s="7">
        <v>28347.94</v>
      </c>
      <c r="G37" s="7">
        <v>9001.68</v>
      </c>
      <c r="H37" s="7">
        <v>37349.620000000003</v>
      </c>
      <c r="I37" s="7">
        <v>22695.73</v>
      </c>
      <c r="M37" s="3">
        <v>25.3</v>
      </c>
      <c r="N37" s="4" t="s">
        <v>36</v>
      </c>
      <c r="O37" s="7">
        <v>9001.68</v>
      </c>
      <c r="P37" s="7">
        <v>37349.620000000003</v>
      </c>
      <c r="Q37" s="30">
        <f t="shared" si="0"/>
        <v>0.24101128739730149</v>
      </c>
    </row>
    <row r="38" spans="4:17" ht="45.6" thickBot="1" x14ac:dyDescent="0.35">
      <c r="D38" s="3">
        <v>26</v>
      </c>
      <c r="E38" s="4" t="s">
        <v>37</v>
      </c>
      <c r="F38" s="7">
        <v>262967.8</v>
      </c>
      <c r="G38" s="7">
        <v>20928.98</v>
      </c>
      <c r="H38" s="7">
        <v>283896.78000000003</v>
      </c>
      <c r="I38" s="7">
        <v>49860.959999999999</v>
      </c>
      <c r="M38" s="3">
        <v>26</v>
      </c>
      <c r="N38" s="4" t="s">
        <v>37</v>
      </c>
      <c r="O38" s="7">
        <v>20928.98</v>
      </c>
      <c r="P38" s="7">
        <v>283896.78000000003</v>
      </c>
      <c r="Q38" s="30">
        <f t="shared" si="0"/>
        <v>7.3720385275239816E-2</v>
      </c>
    </row>
    <row r="39" spans="4:17" ht="45.6" thickBot="1" x14ac:dyDescent="0.35">
      <c r="D39" s="3">
        <v>27</v>
      </c>
      <c r="E39" s="4" t="s">
        <v>38</v>
      </c>
      <c r="F39" s="7">
        <v>249720.3</v>
      </c>
      <c r="G39" s="7">
        <v>9776.92</v>
      </c>
      <c r="H39" s="7">
        <v>259497.21</v>
      </c>
      <c r="I39" s="7">
        <v>30014.03</v>
      </c>
      <c r="M39" s="3">
        <v>27</v>
      </c>
      <c r="N39" s="4" t="s">
        <v>38</v>
      </c>
      <c r="O39" s="7">
        <v>9776.92</v>
      </c>
      <c r="P39" s="7">
        <v>259497.21</v>
      </c>
      <c r="Q39" s="30">
        <f t="shared" si="0"/>
        <v>3.7676397368588278E-2</v>
      </c>
    </row>
    <row r="40" spans="4:17" ht="60.6" thickBot="1" x14ac:dyDescent="0.35">
      <c r="D40" s="3">
        <v>28</v>
      </c>
      <c r="E40" s="4" t="s">
        <v>39</v>
      </c>
      <c r="F40" s="7">
        <v>687797.26</v>
      </c>
      <c r="G40" s="7">
        <v>19167.47</v>
      </c>
      <c r="H40" s="7">
        <v>706964.73</v>
      </c>
      <c r="I40" s="7">
        <v>13216.08</v>
      </c>
      <c r="M40" s="3">
        <v>28</v>
      </c>
      <c r="N40" s="4" t="s">
        <v>39</v>
      </c>
      <c r="O40" s="7">
        <v>19167.47</v>
      </c>
      <c r="P40" s="7">
        <v>706964.73</v>
      </c>
      <c r="Q40" s="30">
        <f t="shared" si="0"/>
        <v>2.7112342648267618E-2</v>
      </c>
    </row>
    <row r="41" spans="4:17" ht="16.2" thickBot="1" x14ac:dyDescent="0.35">
      <c r="D41" s="8"/>
      <c r="E41" s="9" t="s">
        <v>4</v>
      </c>
      <c r="F41" s="10">
        <v>1849358.09</v>
      </c>
      <c r="G41" s="10">
        <v>225104.5</v>
      </c>
      <c r="H41" s="10">
        <v>2074462.6</v>
      </c>
      <c r="I41" s="10">
        <v>391795.47</v>
      </c>
      <c r="M41" s="8"/>
      <c r="N41" s="9" t="s">
        <v>4</v>
      </c>
      <c r="O41" s="10">
        <v>225104.5</v>
      </c>
      <c r="P41" s="10">
        <v>2074462.6</v>
      </c>
      <c r="Q41" s="30">
        <f t="shared" si="0"/>
        <v>0.10851219973789838</v>
      </c>
    </row>
  </sheetData>
  <mergeCells count="11">
    <mergeCell ref="Q4:Q5"/>
    <mergeCell ref="M2:Q2"/>
    <mergeCell ref="N4:N5"/>
    <mergeCell ref="O4:O5"/>
    <mergeCell ref="P4:P5"/>
    <mergeCell ref="D4:D5"/>
    <mergeCell ref="E4:E5"/>
    <mergeCell ref="F4:H4"/>
    <mergeCell ref="I4:I5"/>
    <mergeCell ref="D2:I2"/>
    <mergeCell ref="M4:M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A223-419A-4C38-B59D-CF043B9E0EDE}">
  <dimension ref="D2:R41"/>
  <sheetViews>
    <sheetView workbookViewId="0">
      <selection activeCell="K10" sqref="K10"/>
    </sheetView>
  </sheetViews>
  <sheetFormatPr defaultRowHeight="14.4" x14ac:dyDescent="0.3"/>
  <sheetData>
    <row r="2" spans="4:18" x14ac:dyDescent="0.3">
      <c r="D2" s="29" t="s">
        <v>51</v>
      </c>
      <c r="E2" s="29"/>
      <c r="F2" s="29"/>
      <c r="G2" s="29"/>
      <c r="H2" s="29"/>
      <c r="I2" s="29"/>
      <c r="N2" s="29" t="s">
        <v>52</v>
      </c>
      <c r="O2" s="29"/>
      <c r="P2" s="29"/>
      <c r="Q2" s="29"/>
      <c r="R2" s="29"/>
    </row>
    <row r="3" spans="4:18" ht="15" thickBot="1" x14ac:dyDescent="0.35"/>
    <row r="4" spans="4:18" ht="31.2" customHeight="1" thickBot="1" x14ac:dyDescent="0.35">
      <c r="D4" s="18" t="s">
        <v>0</v>
      </c>
      <c r="E4" s="20" t="s">
        <v>1</v>
      </c>
      <c r="F4" s="27" t="s">
        <v>2</v>
      </c>
      <c r="G4" s="26"/>
      <c r="H4" s="28"/>
      <c r="I4" s="18" t="s">
        <v>46</v>
      </c>
      <c r="N4" s="18" t="s">
        <v>0</v>
      </c>
      <c r="O4" s="20" t="s">
        <v>1</v>
      </c>
      <c r="P4" s="20" t="s">
        <v>3</v>
      </c>
      <c r="Q4" s="20" t="s">
        <v>4</v>
      </c>
      <c r="R4" s="20" t="s">
        <v>49</v>
      </c>
    </row>
    <row r="5" spans="4:18" ht="31.8" thickBot="1" x14ac:dyDescent="0.35">
      <c r="D5" s="19"/>
      <c r="E5" s="21"/>
      <c r="F5" s="25" t="s">
        <v>47</v>
      </c>
      <c r="G5" s="1" t="s">
        <v>3</v>
      </c>
      <c r="H5" s="2" t="s">
        <v>4</v>
      </c>
      <c r="I5" s="19"/>
      <c r="N5" s="19"/>
      <c r="O5" s="21"/>
      <c r="P5" s="21"/>
      <c r="Q5" s="21"/>
      <c r="R5" s="21"/>
    </row>
    <row r="6" spans="4:18" ht="15.6" thickBot="1" x14ac:dyDescent="0.35">
      <c r="D6" s="3">
        <v>1</v>
      </c>
      <c r="E6" s="4" t="s">
        <v>5</v>
      </c>
      <c r="F6" s="7">
        <v>1907.78</v>
      </c>
      <c r="G6" s="7">
        <v>399</v>
      </c>
      <c r="H6" s="7">
        <v>2306.7800000000002</v>
      </c>
      <c r="I6" s="7">
        <v>2102.25</v>
      </c>
      <c r="N6" s="3">
        <v>1</v>
      </c>
      <c r="O6" s="4" t="s">
        <v>5</v>
      </c>
      <c r="P6" s="7">
        <v>399</v>
      </c>
      <c r="Q6" s="7">
        <v>2306.7800000000002</v>
      </c>
      <c r="R6" s="30">
        <f>P6/Q6</f>
        <v>0.1729683801662924</v>
      </c>
    </row>
    <row r="7" spans="4:18" ht="15.6" thickBot="1" x14ac:dyDescent="0.35">
      <c r="D7" s="3">
        <v>2</v>
      </c>
      <c r="E7" s="4" t="s">
        <v>6</v>
      </c>
      <c r="F7" s="7">
        <v>4305.05</v>
      </c>
      <c r="G7" s="7">
        <v>111.37</v>
      </c>
      <c r="H7" s="7">
        <v>4416.42</v>
      </c>
      <c r="I7" s="7">
        <v>1553.53</v>
      </c>
      <c r="N7" s="3">
        <v>2</v>
      </c>
      <c r="O7" s="4" t="s">
        <v>6</v>
      </c>
      <c r="P7" s="7">
        <v>111.37</v>
      </c>
      <c r="Q7" s="7">
        <v>4416.42</v>
      </c>
      <c r="R7" s="30">
        <f t="shared" ref="R7:R41" si="0">P7/Q7</f>
        <v>2.5217257416640628E-2</v>
      </c>
    </row>
    <row r="8" spans="4:18" ht="30.6" thickBot="1" x14ac:dyDescent="0.35">
      <c r="D8" s="3">
        <v>3</v>
      </c>
      <c r="E8" s="4" t="s">
        <v>7</v>
      </c>
      <c r="F8" s="7">
        <v>65632.86</v>
      </c>
      <c r="G8" s="7">
        <v>25837.06</v>
      </c>
      <c r="H8" s="7">
        <v>91469.92</v>
      </c>
      <c r="I8" s="7">
        <v>27892.95</v>
      </c>
      <c r="N8" s="3">
        <v>3</v>
      </c>
      <c r="O8" s="4" t="s">
        <v>7</v>
      </c>
      <c r="P8" s="7">
        <v>25837.06</v>
      </c>
      <c r="Q8" s="7">
        <v>91469.92</v>
      </c>
      <c r="R8" s="30">
        <f t="shared" si="0"/>
        <v>0.28246509890901844</v>
      </c>
    </row>
    <row r="9" spans="4:18" ht="45.6" thickBot="1" x14ac:dyDescent="0.35">
      <c r="D9" s="3">
        <v>4</v>
      </c>
      <c r="E9" s="4" t="s">
        <v>8</v>
      </c>
      <c r="F9" s="7">
        <v>32144.68</v>
      </c>
      <c r="G9" s="7">
        <v>2343.9</v>
      </c>
      <c r="H9" s="7">
        <v>34488.58</v>
      </c>
      <c r="I9" s="7">
        <v>9459.9599999999991</v>
      </c>
      <c r="N9" s="3">
        <v>4</v>
      </c>
      <c r="O9" s="4" t="s">
        <v>8</v>
      </c>
      <c r="P9" s="7">
        <v>2343.9</v>
      </c>
      <c r="Q9" s="7">
        <v>34488.58</v>
      </c>
      <c r="R9" s="30">
        <f t="shared" si="0"/>
        <v>6.7961626718177431E-2</v>
      </c>
    </row>
    <row r="10" spans="4:18" ht="45.6" thickBot="1" x14ac:dyDescent="0.35">
      <c r="D10" s="3">
        <v>5</v>
      </c>
      <c r="E10" s="4" t="s">
        <v>9</v>
      </c>
      <c r="F10" s="7">
        <v>31547.119999999999</v>
      </c>
      <c r="G10" s="7">
        <v>11291.34</v>
      </c>
      <c r="H10" s="7">
        <v>42836.46</v>
      </c>
      <c r="I10" s="7">
        <v>76561.990000000005</v>
      </c>
      <c r="N10" s="3">
        <v>5</v>
      </c>
      <c r="O10" s="4" t="s">
        <v>9</v>
      </c>
      <c r="P10" s="7">
        <v>11291.34</v>
      </c>
      <c r="Q10" s="7">
        <v>42836.46</v>
      </c>
      <c r="R10" s="30">
        <f t="shared" si="0"/>
        <v>0.26359180940721993</v>
      </c>
    </row>
    <row r="11" spans="4:18" ht="60.6" thickBot="1" x14ac:dyDescent="0.35">
      <c r="D11" s="3">
        <v>5.0999999999999996</v>
      </c>
      <c r="E11" s="4" t="s">
        <v>10</v>
      </c>
      <c r="F11" s="7">
        <v>4645.8999999999996</v>
      </c>
      <c r="G11" s="7">
        <v>4414.68</v>
      </c>
      <c r="H11" s="7">
        <v>9060.58</v>
      </c>
      <c r="I11" s="7">
        <v>2687.67</v>
      </c>
      <c r="N11" s="3">
        <v>5.0999999999999996</v>
      </c>
      <c r="O11" s="4" t="s">
        <v>10</v>
      </c>
      <c r="P11" s="7">
        <v>4414.68</v>
      </c>
      <c r="Q11" s="7">
        <v>9060.58</v>
      </c>
      <c r="R11" s="30">
        <f t="shared" si="0"/>
        <v>0.48724033119292587</v>
      </c>
    </row>
    <row r="12" spans="4:18" ht="30.6" thickBot="1" x14ac:dyDescent="0.35">
      <c r="D12" s="3">
        <v>6</v>
      </c>
      <c r="E12" s="4" t="s">
        <v>11</v>
      </c>
      <c r="F12" s="7">
        <v>9903.4599999999991</v>
      </c>
      <c r="G12" s="7">
        <v>0</v>
      </c>
      <c r="H12" s="7">
        <v>9903.4599999999991</v>
      </c>
      <c r="I12" s="7">
        <v>0</v>
      </c>
      <c r="N12" s="3">
        <v>6</v>
      </c>
      <c r="O12" s="4" t="s">
        <v>11</v>
      </c>
      <c r="P12" s="7">
        <v>0</v>
      </c>
      <c r="Q12" s="7">
        <v>9903.4599999999991</v>
      </c>
      <c r="R12" s="30">
        <f t="shared" si="0"/>
        <v>0</v>
      </c>
    </row>
    <row r="13" spans="4:18" ht="30.6" thickBot="1" x14ac:dyDescent="0.35">
      <c r="D13" s="3">
        <v>7</v>
      </c>
      <c r="E13" s="4" t="s">
        <v>12</v>
      </c>
      <c r="F13" s="7">
        <v>22890.53</v>
      </c>
      <c r="G13" s="7">
        <v>5439.76</v>
      </c>
      <c r="H13" s="7">
        <v>28330.29</v>
      </c>
      <c r="I13" s="7">
        <v>1708.79</v>
      </c>
      <c r="N13" s="3">
        <v>7</v>
      </c>
      <c r="O13" s="4" t="s">
        <v>12</v>
      </c>
      <c r="P13" s="7">
        <v>5439.76</v>
      </c>
      <c r="Q13" s="7">
        <v>28330.29</v>
      </c>
      <c r="R13" s="30">
        <f t="shared" si="0"/>
        <v>0.19201215377604677</v>
      </c>
    </row>
    <row r="14" spans="4:18" ht="30.6" thickBot="1" x14ac:dyDescent="0.35">
      <c r="D14" s="3">
        <v>8</v>
      </c>
      <c r="E14" s="4" t="s">
        <v>13</v>
      </c>
      <c r="F14" s="7">
        <v>383.52</v>
      </c>
      <c r="G14" s="7">
        <v>40.07</v>
      </c>
      <c r="H14" s="7">
        <v>423.59</v>
      </c>
      <c r="I14" s="7">
        <v>31.2</v>
      </c>
      <c r="N14" s="3">
        <v>8</v>
      </c>
      <c r="O14" s="4" t="s">
        <v>13</v>
      </c>
      <c r="P14" s="7">
        <v>40.07</v>
      </c>
      <c r="Q14" s="7">
        <v>423.59</v>
      </c>
      <c r="R14" s="30">
        <f t="shared" si="0"/>
        <v>9.4596189711749573E-2</v>
      </c>
    </row>
    <row r="15" spans="4:18" ht="30.6" thickBot="1" x14ac:dyDescent="0.35">
      <c r="D15" s="3">
        <v>9</v>
      </c>
      <c r="E15" s="4" t="s">
        <v>14</v>
      </c>
      <c r="F15" s="7">
        <v>11805.28</v>
      </c>
      <c r="G15" s="7">
        <v>2504.9699999999998</v>
      </c>
      <c r="H15" s="7">
        <v>14310.25</v>
      </c>
      <c r="I15" s="7">
        <v>1756.97</v>
      </c>
      <c r="N15" s="3">
        <v>9</v>
      </c>
      <c r="O15" s="4" t="s">
        <v>14</v>
      </c>
      <c r="P15" s="7">
        <v>2504.9699999999998</v>
      </c>
      <c r="Q15" s="7">
        <v>14310.25</v>
      </c>
      <c r="R15" s="30">
        <f t="shared" si="0"/>
        <v>0.17504725633724078</v>
      </c>
    </row>
    <row r="16" spans="4:18" ht="15.6" thickBot="1" x14ac:dyDescent="0.35">
      <c r="D16" s="3">
        <v>10</v>
      </c>
      <c r="E16" s="4" t="s">
        <v>15</v>
      </c>
      <c r="F16" s="7">
        <v>7477.27</v>
      </c>
      <c r="G16" s="7">
        <v>1028.46</v>
      </c>
      <c r="H16" s="7">
        <v>8505.73</v>
      </c>
      <c r="I16" s="7">
        <v>1017.48</v>
      </c>
      <c r="N16" s="3">
        <v>10</v>
      </c>
      <c r="O16" s="4" t="s">
        <v>15</v>
      </c>
      <c r="P16" s="7">
        <v>1028.46</v>
      </c>
      <c r="Q16" s="7">
        <v>8505.73</v>
      </c>
      <c r="R16" s="30">
        <f t="shared" si="0"/>
        <v>0.12091378400207861</v>
      </c>
    </row>
    <row r="17" spans="4:18" ht="15.6" thickBot="1" x14ac:dyDescent="0.35">
      <c r="D17" s="3">
        <v>11</v>
      </c>
      <c r="E17" s="4" t="s">
        <v>16</v>
      </c>
      <c r="F17" s="7">
        <v>583.70000000000005</v>
      </c>
      <c r="G17" s="7">
        <v>144.25</v>
      </c>
      <c r="H17" s="7">
        <v>727.95</v>
      </c>
      <c r="I17" s="7">
        <v>32.840000000000003</v>
      </c>
      <c r="N17" s="3">
        <v>11</v>
      </c>
      <c r="O17" s="4" t="s">
        <v>16</v>
      </c>
      <c r="P17" s="7">
        <v>144.25</v>
      </c>
      <c r="Q17" s="7">
        <v>727.95</v>
      </c>
      <c r="R17" s="30">
        <f t="shared" si="0"/>
        <v>0.19815921423174668</v>
      </c>
    </row>
    <row r="18" spans="4:18" ht="45.6" thickBot="1" x14ac:dyDescent="0.35">
      <c r="D18" s="3">
        <v>12</v>
      </c>
      <c r="E18" s="4" t="s">
        <v>17</v>
      </c>
      <c r="F18" s="7">
        <v>48429.45</v>
      </c>
      <c r="G18" s="7">
        <v>6530.22</v>
      </c>
      <c r="H18" s="7">
        <v>54959.67</v>
      </c>
      <c r="I18" s="7">
        <v>2572.64</v>
      </c>
      <c r="N18" s="3">
        <v>12</v>
      </c>
      <c r="O18" s="4" t="s">
        <v>17</v>
      </c>
      <c r="P18" s="7">
        <v>6530.22</v>
      </c>
      <c r="Q18" s="7">
        <v>54959.67</v>
      </c>
      <c r="R18" s="30">
        <f t="shared" si="0"/>
        <v>0.11881839901877141</v>
      </c>
    </row>
    <row r="19" spans="4:18" ht="60.6" thickBot="1" x14ac:dyDescent="0.35">
      <c r="D19" s="3">
        <v>13</v>
      </c>
      <c r="E19" s="4" t="s">
        <v>18</v>
      </c>
      <c r="F19" s="7">
        <v>3409.91</v>
      </c>
      <c r="G19" s="7">
        <v>2376.5500000000002</v>
      </c>
      <c r="H19" s="7">
        <v>5786.46</v>
      </c>
      <c r="I19" s="7">
        <v>2484.9499999999998</v>
      </c>
      <c r="N19" s="3">
        <v>13</v>
      </c>
      <c r="O19" s="4" t="s">
        <v>18</v>
      </c>
      <c r="P19" s="7">
        <v>2376.5500000000002</v>
      </c>
      <c r="Q19" s="7">
        <v>5786.46</v>
      </c>
      <c r="R19" s="30">
        <f t="shared" si="0"/>
        <v>0.41070879259512727</v>
      </c>
    </row>
    <row r="20" spans="4:18" ht="90.6" thickBot="1" x14ac:dyDescent="0.35">
      <c r="D20" s="3">
        <v>14</v>
      </c>
      <c r="E20" s="4" t="s">
        <v>19</v>
      </c>
      <c r="F20" s="7">
        <v>717.83</v>
      </c>
      <c r="G20" s="7">
        <v>22.21</v>
      </c>
      <c r="H20" s="7">
        <v>740.04</v>
      </c>
      <c r="I20" s="7">
        <v>151.62</v>
      </c>
      <c r="N20" s="3">
        <v>14</v>
      </c>
      <c r="O20" s="4" t="s">
        <v>19</v>
      </c>
      <c r="P20" s="7">
        <v>22.21</v>
      </c>
      <c r="Q20" s="7">
        <v>740.04</v>
      </c>
      <c r="R20" s="30">
        <f t="shared" si="0"/>
        <v>3.001189124912167E-2</v>
      </c>
    </row>
    <row r="21" spans="4:18" ht="60.6" thickBot="1" x14ac:dyDescent="0.35">
      <c r="D21" s="3">
        <v>15</v>
      </c>
      <c r="E21" s="4" t="s">
        <v>20</v>
      </c>
      <c r="F21" s="7">
        <v>4140.04</v>
      </c>
      <c r="G21" s="7">
        <v>641.66</v>
      </c>
      <c r="H21" s="7">
        <v>4781.7</v>
      </c>
      <c r="I21" s="7">
        <v>1153.22</v>
      </c>
      <c r="N21" s="3">
        <v>15</v>
      </c>
      <c r="O21" s="4" t="s">
        <v>20</v>
      </c>
      <c r="P21" s="7">
        <v>641.66</v>
      </c>
      <c r="Q21" s="7">
        <v>4781.7</v>
      </c>
      <c r="R21" s="30">
        <f t="shared" si="0"/>
        <v>0.13419076897337767</v>
      </c>
    </row>
    <row r="22" spans="4:18" ht="75.599999999999994" thickBot="1" x14ac:dyDescent="0.35">
      <c r="D22" s="3">
        <v>16</v>
      </c>
      <c r="E22" s="4" t="s">
        <v>21</v>
      </c>
      <c r="F22" s="7">
        <v>7707.68</v>
      </c>
      <c r="G22" s="7">
        <v>548.99</v>
      </c>
      <c r="H22" s="7">
        <v>8256.67</v>
      </c>
      <c r="I22" s="7">
        <v>2650.89</v>
      </c>
      <c r="N22" s="3">
        <v>16</v>
      </c>
      <c r="O22" s="4" t="s">
        <v>21</v>
      </c>
      <c r="P22" s="7">
        <v>548.99</v>
      </c>
      <c r="Q22" s="7">
        <v>8256.67</v>
      </c>
      <c r="R22" s="30">
        <f t="shared" si="0"/>
        <v>6.6490485873845026E-2</v>
      </c>
    </row>
    <row r="23" spans="4:18" ht="75.599999999999994" thickBot="1" x14ac:dyDescent="0.35">
      <c r="D23" s="3">
        <v>17</v>
      </c>
      <c r="E23" s="4" t="s">
        <v>22</v>
      </c>
      <c r="F23" s="7">
        <v>99608.43</v>
      </c>
      <c r="G23" s="7">
        <v>3994.46</v>
      </c>
      <c r="H23" s="7">
        <v>103602.89</v>
      </c>
      <c r="I23" s="7">
        <v>61887.83</v>
      </c>
      <c r="N23" s="3">
        <v>17</v>
      </c>
      <c r="O23" s="4" t="s">
        <v>22</v>
      </c>
      <c r="P23" s="7">
        <v>3994.46</v>
      </c>
      <c r="Q23" s="7">
        <v>103602.89</v>
      </c>
      <c r="R23" s="30">
        <f t="shared" si="0"/>
        <v>3.8555488172192884E-2</v>
      </c>
    </row>
    <row r="24" spans="4:18" ht="60.6" thickBot="1" x14ac:dyDescent="0.35">
      <c r="D24" s="3">
        <v>17.100000000000001</v>
      </c>
      <c r="E24" s="4" t="s">
        <v>23</v>
      </c>
      <c r="F24" s="7">
        <v>15984.54</v>
      </c>
      <c r="G24" s="7">
        <v>995.21</v>
      </c>
      <c r="H24" s="7">
        <v>16979.75</v>
      </c>
      <c r="I24" s="7">
        <v>7252.59</v>
      </c>
      <c r="N24" s="3">
        <v>17.100000000000001</v>
      </c>
      <c r="O24" s="4" t="s">
        <v>23</v>
      </c>
      <c r="P24" s="7">
        <v>995.21</v>
      </c>
      <c r="Q24" s="7">
        <v>16979.75</v>
      </c>
      <c r="R24" s="30">
        <f t="shared" si="0"/>
        <v>5.8611581442600751E-2</v>
      </c>
    </row>
    <row r="25" spans="4:18" ht="60.6" thickBot="1" x14ac:dyDescent="0.35">
      <c r="D25" s="3">
        <v>17.2</v>
      </c>
      <c r="E25" s="4" t="s">
        <v>24</v>
      </c>
      <c r="F25" s="7">
        <v>61932.02</v>
      </c>
      <c r="G25" s="7">
        <v>354.11</v>
      </c>
      <c r="H25" s="7">
        <v>62286.13</v>
      </c>
      <c r="I25" s="7">
        <v>45975.01</v>
      </c>
      <c r="N25" s="3">
        <v>17.2</v>
      </c>
      <c r="O25" s="4" t="s">
        <v>24</v>
      </c>
      <c r="P25" s="7">
        <v>354.11</v>
      </c>
      <c r="Q25" s="7">
        <v>62286.13</v>
      </c>
      <c r="R25" s="30">
        <f t="shared" si="0"/>
        <v>5.6852143486840496E-3</v>
      </c>
    </row>
    <row r="26" spans="4:18" ht="75.599999999999994" thickBot="1" x14ac:dyDescent="0.35">
      <c r="D26" s="3">
        <v>17.3</v>
      </c>
      <c r="E26" s="4" t="s">
        <v>25</v>
      </c>
      <c r="F26" s="7">
        <v>12312.33</v>
      </c>
      <c r="G26" s="7">
        <v>1339.36</v>
      </c>
      <c r="H26" s="7">
        <v>13651.69</v>
      </c>
      <c r="I26" s="7">
        <v>2064.27</v>
      </c>
      <c r="N26" s="3">
        <v>17.3</v>
      </c>
      <c r="O26" s="4" t="s">
        <v>25</v>
      </c>
      <c r="P26" s="7">
        <v>1339.36</v>
      </c>
      <c r="Q26" s="7">
        <v>13651.69</v>
      </c>
      <c r="R26" s="30">
        <f t="shared" si="0"/>
        <v>9.8109464835489227E-2</v>
      </c>
    </row>
    <row r="27" spans="4:18" ht="15.6" thickBot="1" x14ac:dyDescent="0.35">
      <c r="D27" s="3">
        <v>18</v>
      </c>
      <c r="E27" s="4" t="s">
        <v>26</v>
      </c>
      <c r="F27" s="7">
        <v>14072.39</v>
      </c>
      <c r="G27" s="7">
        <v>1053.22</v>
      </c>
      <c r="H27" s="7">
        <v>15125.61</v>
      </c>
      <c r="I27" s="7">
        <v>4037.54</v>
      </c>
      <c r="N27" s="3">
        <v>18</v>
      </c>
      <c r="O27" s="4" t="s">
        <v>26</v>
      </c>
      <c r="P27" s="7">
        <v>1053.22</v>
      </c>
      <c r="Q27" s="7">
        <v>15125.61</v>
      </c>
      <c r="R27" s="30">
        <f t="shared" si="0"/>
        <v>6.9631571883712454E-2</v>
      </c>
    </row>
    <row r="28" spans="4:18" ht="75.599999999999994" thickBot="1" x14ac:dyDescent="0.35">
      <c r="D28" s="3">
        <v>19</v>
      </c>
      <c r="E28" s="4" t="s">
        <v>27</v>
      </c>
      <c r="F28" s="7">
        <v>2294.91</v>
      </c>
      <c r="G28" s="7">
        <v>334.55</v>
      </c>
      <c r="H28" s="7">
        <v>2629.46</v>
      </c>
      <c r="I28" s="7">
        <v>338.64</v>
      </c>
      <c r="N28" s="3">
        <v>19</v>
      </c>
      <c r="O28" s="4" t="s">
        <v>27</v>
      </c>
      <c r="P28" s="7">
        <v>334.55</v>
      </c>
      <c r="Q28" s="7">
        <v>2629.46</v>
      </c>
      <c r="R28" s="30">
        <f t="shared" si="0"/>
        <v>0.1272314467609319</v>
      </c>
    </row>
    <row r="29" spans="4:18" ht="60.6" thickBot="1" x14ac:dyDescent="0.35">
      <c r="D29" s="3">
        <v>20</v>
      </c>
      <c r="E29" s="4" t="s">
        <v>28</v>
      </c>
      <c r="F29" s="7">
        <v>12408.4</v>
      </c>
      <c r="G29" s="7">
        <v>797.59</v>
      </c>
      <c r="H29" s="7">
        <v>13205.99</v>
      </c>
      <c r="I29" s="7">
        <v>1636.7</v>
      </c>
      <c r="N29" s="3">
        <v>20</v>
      </c>
      <c r="O29" s="4" t="s">
        <v>28</v>
      </c>
      <c r="P29" s="7">
        <v>797.59</v>
      </c>
      <c r="Q29" s="7">
        <v>13205.99</v>
      </c>
      <c r="R29" s="30">
        <f t="shared" si="0"/>
        <v>6.0396077840434534E-2</v>
      </c>
    </row>
    <row r="30" spans="4:18" ht="30.6" thickBot="1" x14ac:dyDescent="0.35">
      <c r="D30" s="3">
        <v>21</v>
      </c>
      <c r="E30" s="4" t="s">
        <v>29</v>
      </c>
      <c r="F30" s="7">
        <v>29085.88</v>
      </c>
      <c r="G30" s="7">
        <v>1355.17</v>
      </c>
      <c r="H30" s="7">
        <v>30441.05</v>
      </c>
      <c r="I30" s="7">
        <v>7999.57</v>
      </c>
      <c r="N30" s="3">
        <v>21</v>
      </c>
      <c r="O30" s="4" t="s">
        <v>29</v>
      </c>
      <c r="P30" s="7">
        <v>1355.17</v>
      </c>
      <c r="Q30" s="7">
        <v>30441.05</v>
      </c>
      <c r="R30" s="30">
        <f t="shared" si="0"/>
        <v>4.4517846789121927E-2</v>
      </c>
    </row>
    <row r="31" spans="4:18" ht="30.6" thickBot="1" x14ac:dyDescent="0.35">
      <c r="D31" s="3">
        <v>22</v>
      </c>
      <c r="E31" s="4" t="s">
        <v>30</v>
      </c>
      <c r="F31" s="7">
        <v>34484.339999999997</v>
      </c>
      <c r="G31" s="7">
        <v>2057.61</v>
      </c>
      <c r="H31" s="7">
        <v>36541.949999999997</v>
      </c>
      <c r="I31" s="7">
        <v>21939.040000000001</v>
      </c>
      <c r="N31" s="3">
        <v>22</v>
      </c>
      <c r="O31" s="4" t="s">
        <v>30</v>
      </c>
      <c r="P31" s="7">
        <v>2057.61</v>
      </c>
      <c r="Q31" s="7">
        <v>36541.949999999997</v>
      </c>
      <c r="R31" s="30">
        <f t="shared" si="0"/>
        <v>5.6308160894533554E-2</v>
      </c>
    </row>
    <row r="32" spans="4:18" ht="45.6" thickBot="1" x14ac:dyDescent="0.35">
      <c r="D32" s="3">
        <v>23</v>
      </c>
      <c r="E32" s="4" t="s">
        <v>31</v>
      </c>
      <c r="F32" s="7">
        <v>12336.59</v>
      </c>
      <c r="G32" s="7">
        <v>3592.43</v>
      </c>
      <c r="H32" s="7">
        <v>15929.02</v>
      </c>
      <c r="I32" s="7">
        <v>6600.94</v>
      </c>
      <c r="N32" s="3">
        <v>23</v>
      </c>
      <c r="O32" s="4" t="s">
        <v>31</v>
      </c>
      <c r="P32" s="7">
        <v>3592.43</v>
      </c>
      <c r="Q32" s="7">
        <v>15929.02</v>
      </c>
      <c r="R32" s="30">
        <f t="shared" si="0"/>
        <v>0.22552737079870575</v>
      </c>
    </row>
    <row r="33" spans="4:18" ht="60.6" thickBot="1" x14ac:dyDescent="0.35">
      <c r="D33" s="3">
        <v>24</v>
      </c>
      <c r="E33" s="4" t="s">
        <v>32</v>
      </c>
      <c r="F33" s="7">
        <v>1811.28</v>
      </c>
      <c r="G33" s="7">
        <v>58.83</v>
      </c>
      <c r="H33" s="7">
        <v>1870.11</v>
      </c>
      <c r="I33" s="7">
        <v>1071.71</v>
      </c>
      <c r="N33" s="3">
        <v>24</v>
      </c>
      <c r="O33" s="4" t="s">
        <v>32</v>
      </c>
      <c r="P33" s="7">
        <v>58.83</v>
      </c>
      <c r="Q33" s="7">
        <v>1870.11</v>
      </c>
      <c r="R33" s="30">
        <f t="shared" si="0"/>
        <v>3.1458042575035691E-2</v>
      </c>
    </row>
    <row r="34" spans="4:18" ht="30.6" thickBot="1" x14ac:dyDescent="0.35">
      <c r="D34" s="3">
        <v>25</v>
      </c>
      <c r="E34" s="4" t="s">
        <v>33</v>
      </c>
      <c r="F34" s="7">
        <v>314266.93</v>
      </c>
      <c r="G34" s="7">
        <v>47691.13</v>
      </c>
      <c r="H34" s="7">
        <v>361958.06</v>
      </c>
      <c r="I34" s="7">
        <v>82934.009999999995</v>
      </c>
      <c r="N34" s="3">
        <v>25</v>
      </c>
      <c r="O34" s="4" t="s">
        <v>33</v>
      </c>
      <c r="P34" s="7">
        <v>47691.13</v>
      </c>
      <c r="Q34" s="7">
        <v>361958.06</v>
      </c>
      <c r="R34" s="30">
        <f t="shared" si="0"/>
        <v>0.13175871812330964</v>
      </c>
    </row>
    <row r="35" spans="4:18" ht="45.6" thickBot="1" x14ac:dyDescent="0.35">
      <c r="D35" s="3">
        <v>25.1</v>
      </c>
      <c r="E35" s="4" t="s">
        <v>34</v>
      </c>
      <c r="F35" s="7">
        <v>178655.83</v>
      </c>
      <c r="G35" s="7">
        <v>25346</v>
      </c>
      <c r="H35" s="7">
        <v>204001.83</v>
      </c>
      <c r="I35" s="7">
        <v>25317.46</v>
      </c>
      <c r="N35" s="3">
        <v>25.1</v>
      </c>
      <c r="O35" s="4" t="s">
        <v>34</v>
      </c>
      <c r="P35" s="7">
        <v>25346</v>
      </c>
      <c r="Q35" s="7">
        <v>204001.83</v>
      </c>
      <c r="R35" s="30">
        <f t="shared" si="0"/>
        <v>0.12424398349759902</v>
      </c>
    </row>
    <row r="36" spans="4:18" ht="75.599999999999994" thickBot="1" x14ac:dyDescent="0.35">
      <c r="D36" s="3">
        <v>25.2</v>
      </c>
      <c r="E36" s="4" t="s">
        <v>35</v>
      </c>
      <c r="F36" s="7">
        <v>18736.29</v>
      </c>
      <c r="G36" s="7">
        <v>7608.62</v>
      </c>
      <c r="H36" s="7">
        <v>26344.91</v>
      </c>
      <c r="I36" s="7">
        <v>9273.6</v>
      </c>
      <c r="N36" s="3">
        <v>25.2</v>
      </c>
      <c r="O36" s="4" t="s">
        <v>35</v>
      </c>
      <c r="P36" s="7">
        <v>7608.62</v>
      </c>
      <c r="Q36" s="7">
        <v>26344.91</v>
      </c>
      <c r="R36" s="30">
        <f t="shared" si="0"/>
        <v>0.28880797087558852</v>
      </c>
    </row>
    <row r="37" spans="4:18" ht="60.6" thickBot="1" x14ac:dyDescent="0.35">
      <c r="D37" s="3">
        <v>25.3</v>
      </c>
      <c r="E37" s="4" t="s">
        <v>36</v>
      </c>
      <c r="F37" s="7">
        <v>46484.91</v>
      </c>
      <c r="G37" s="7">
        <v>8292.02</v>
      </c>
      <c r="H37" s="7">
        <v>54776.93</v>
      </c>
      <c r="I37" s="7">
        <v>24547.41</v>
      </c>
      <c r="N37" s="3">
        <v>25.3</v>
      </c>
      <c r="O37" s="4" t="s">
        <v>36</v>
      </c>
      <c r="P37" s="7">
        <v>8292.02</v>
      </c>
      <c r="Q37" s="7">
        <v>54776.93</v>
      </c>
      <c r="R37" s="30">
        <f t="shared" si="0"/>
        <v>0.15137796148853178</v>
      </c>
    </row>
    <row r="38" spans="4:18" ht="45.6" thickBot="1" x14ac:dyDescent="0.35">
      <c r="D38" s="3">
        <v>26</v>
      </c>
      <c r="E38" s="4" t="s">
        <v>37</v>
      </c>
      <c r="F38" s="7">
        <v>302681.32</v>
      </c>
      <c r="G38" s="7">
        <v>20810.02</v>
      </c>
      <c r="H38" s="7">
        <v>323491.34000000003</v>
      </c>
      <c r="I38" s="7">
        <v>47620.91</v>
      </c>
      <c r="N38" s="3">
        <v>26</v>
      </c>
      <c r="O38" s="4" t="s">
        <v>37</v>
      </c>
      <c r="P38" s="7">
        <v>20810.02</v>
      </c>
      <c r="Q38" s="7">
        <v>323491.34000000003</v>
      </c>
      <c r="R38" s="30">
        <f t="shared" si="0"/>
        <v>6.4329450055757284E-2</v>
      </c>
    </row>
    <row r="39" spans="4:18" ht="45.6" thickBot="1" x14ac:dyDescent="0.35">
      <c r="D39" s="3">
        <v>27</v>
      </c>
      <c r="E39" s="4" t="s">
        <v>38</v>
      </c>
      <c r="F39" s="7">
        <v>344702.64</v>
      </c>
      <c r="G39" s="7">
        <v>11608.73</v>
      </c>
      <c r="H39" s="7">
        <v>356311.36</v>
      </c>
      <c r="I39" s="7">
        <v>18143.939999999999</v>
      </c>
      <c r="N39" s="3">
        <v>27</v>
      </c>
      <c r="O39" s="4" t="s">
        <v>38</v>
      </c>
      <c r="P39" s="7">
        <v>11608.73</v>
      </c>
      <c r="Q39" s="7">
        <v>356311.36</v>
      </c>
      <c r="R39" s="30">
        <f t="shared" si="0"/>
        <v>3.2580297187269021E-2</v>
      </c>
    </row>
    <row r="40" spans="4:18" ht="60.6" thickBot="1" x14ac:dyDescent="0.35">
      <c r="D40" s="3">
        <v>28</v>
      </c>
      <c r="E40" s="4" t="s">
        <v>39</v>
      </c>
      <c r="F40" s="7">
        <v>740618.9</v>
      </c>
      <c r="G40" s="7">
        <v>20974.99</v>
      </c>
      <c r="H40" s="7">
        <v>761593.89</v>
      </c>
      <c r="I40" s="7">
        <v>23807.59</v>
      </c>
      <c r="N40" s="3">
        <v>28</v>
      </c>
      <c r="O40" s="4" t="s">
        <v>39</v>
      </c>
      <c r="P40" s="7">
        <v>20974.99</v>
      </c>
      <c r="Q40" s="7">
        <v>761593.89</v>
      </c>
      <c r="R40" s="30">
        <f t="shared" si="0"/>
        <v>2.7540911600538183E-2</v>
      </c>
    </row>
    <row r="41" spans="4:18" ht="16.2" thickBot="1" x14ac:dyDescent="0.35">
      <c r="D41" s="8"/>
      <c r="E41" s="9" t="s">
        <v>4</v>
      </c>
      <c r="F41" s="10">
        <v>2161358.16</v>
      </c>
      <c r="G41" s="10">
        <v>173588.54</v>
      </c>
      <c r="H41" s="10">
        <v>2334946.7000000002</v>
      </c>
      <c r="I41" s="10">
        <v>409149.7</v>
      </c>
      <c r="N41" s="8"/>
      <c r="O41" s="9" t="s">
        <v>4</v>
      </c>
      <c r="P41" s="10">
        <v>173588.54</v>
      </c>
      <c r="Q41" s="10">
        <v>2334946.7000000002</v>
      </c>
      <c r="R41" s="30">
        <f t="shared" si="0"/>
        <v>7.434368416204104E-2</v>
      </c>
    </row>
  </sheetData>
  <mergeCells count="11">
    <mergeCell ref="P4:P5"/>
    <mergeCell ref="Q4:Q5"/>
    <mergeCell ref="R4:R5"/>
    <mergeCell ref="D2:I2"/>
    <mergeCell ref="N2:R2"/>
    <mergeCell ref="D4:D5"/>
    <mergeCell ref="E4:E5"/>
    <mergeCell ref="F4:H4"/>
    <mergeCell ref="I4:I5"/>
    <mergeCell ref="N4:N5"/>
    <mergeCell ref="O4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1F35-3FE8-4E33-84D2-AFCCAB18ADB9}">
  <dimension ref="D2:R41"/>
  <sheetViews>
    <sheetView topLeftCell="A35" workbookViewId="0">
      <selection activeCell="N2" sqref="N2:R41"/>
    </sheetView>
  </sheetViews>
  <sheetFormatPr defaultRowHeight="14.4" x14ac:dyDescent="0.3"/>
  <sheetData>
    <row r="2" spans="4:18" x14ac:dyDescent="0.3">
      <c r="D2" s="29" t="s">
        <v>53</v>
      </c>
      <c r="E2" s="29"/>
      <c r="F2" s="29"/>
      <c r="G2" s="29"/>
      <c r="H2" s="29"/>
      <c r="I2" s="29"/>
      <c r="N2" s="29" t="s">
        <v>54</v>
      </c>
      <c r="O2" s="29"/>
      <c r="P2" s="29"/>
      <c r="Q2" s="29"/>
      <c r="R2" s="29"/>
    </row>
    <row r="3" spans="4:18" ht="15" thickBot="1" x14ac:dyDescent="0.35"/>
    <row r="4" spans="4:18" ht="31.2" customHeight="1" thickBot="1" x14ac:dyDescent="0.35">
      <c r="D4" s="18" t="s">
        <v>0</v>
      </c>
      <c r="E4" s="20" t="s">
        <v>1</v>
      </c>
      <c r="F4" s="27" t="s">
        <v>2</v>
      </c>
      <c r="G4" s="26"/>
      <c r="H4" s="28"/>
      <c r="I4" s="18" t="s">
        <v>46</v>
      </c>
      <c r="N4" s="18" t="s">
        <v>0</v>
      </c>
      <c r="O4" s="20" t="s">
        <v>1</v>
      </c>
      <c r="P4" s="20" t="s">
        <v>3</v>
      </c>
      <c r="Q4" s="20" t="s">
        <v>4</v>
      </c>
      <c r="R4" s="20" t="s">
        <v>49</v>
      </c>
    </row>
    <row r="5" spans="4:18" ht="31.8" thickBot="1" x14ac:dyDescent="0.35">
      <c r="D5" s="19"/>
      <c r="E5" s="21"/>
      <c r="F5" s="25" t="s">
        <v>47</v>
      </c>
      <c r="G5" s="1" t="s">
        <v>3</v>
      </c>
      <c r="H5" s="2" t="s">
        <v>4</v>
      </c>
      <c r="I5" s="19"/>
      <c r="N5" s="19"/>
      <c r="O5" s="21"/>
      <c r="P5" s="21"/>
      <c r="Q5" s="21"/>
      <c r="R5" s="21"/>
    </row>
    <row r="6" spans="4:18" ht="15.6" thickBot="1" x14ac:dyDescent="0.35">
      <c r="D6" s="3">
        <v>1</v>
      </c>
      <c r="E6" s="4" t="s">
        <v>5</v>
      </c>
      <c r="F6" s="7">
        <v>8456.68</v>
      </c>
      <c r="G6" s="7">
        <v>317.83999999999997</v>
      </c>
      <c r="H6" s="7">
        <v>8774.52</v>
      </c>
      <c r="I6" s="7">
        <v>6203.22</v>
      </c>
      <c r="N6" s="3">
        <v>1</v>
      </c>
      <c r="O6" s="4" t="s">
        <v>5</v>
      </c>
      <c r="P6" s="7">
        <v>317.83999999999997</v>
      </c>
      <c r="Q6" s="7">
        <v>8774.52</v>
      </c>
      <c r="R6" s="30">
        <f>P6/Q6</f>
        <v>3.6223064053646233E-2</v>
      </c>
    </row>
    <row r="7" spans="4:18" ht="15.6" thickBot="1" x14ac:dyDescent="0.35">
      <c r="D7" s="3">
        <v>2</v>
      </c>
      <c r="E7" s="4" t="s">
        <v>6</v>
      </c>
      <c r="F7" s="7">
        <v>6282.95</v>
      </c>
      <c r="G7" s="7">
        <v>1896.56</v>
      </c>
      <c r="H7" s="7">
        <v>8179.51</v>
      </c>
      <c r="I7" s="7">
        <v>1986.38</v>
      </c>
      <c r="N7" s="3">
        <v>2</v>
      </c>
      <c r="O7" s="4" t="s">
        <v>6</v>
      </c>
      <c r="P7" s="7">
        <v>1896.56</v>
      </c>
      <c r="Q7" s="7">
        <v>8179.51</v>
      </c>
      <c r="R7" s="30">
        <f t="shared" ref="R7:R41" si="0">P7/Q7</f>
        <v>0.23186719008840381</v>
      </c>
    </row>
    <row r="8" spans="4:18" ht="30.6" thickBot="1" x14ac:dyDescent="0.35">
      <c r="D8" s="3">
        <v>3</v>
      </c>
      <c r="E8" s="4" t="s">
        <v>7</v>
      </c>
      <c r="F8" s="7">
        <v>66096.3</v>
      </c>
      <c r="G8" s="7">
        <v>6110.88</v>
      </c>
      <c r="H8" s="7">
        <v>72207.179999999993</v>
      </c>
      <c r="I8" s="7">
        <v>37022.370000000003</v>
      </c>
      <c r="N8" s="3">
        <v>3</v>
      </c>
      <c r="O8" s="4" t="s">
        <v>7</v>
      </c>
      <c r="P8" s="7">
        <v>6110.88</v>
      </c>
      <c r="Q8" s="7">
        <v>72207.179999999993</v>
      </c>
      <c r="R8" s="30">
        <f t="shared" si="0"/>
        <v>8.4629811052031129E-2</v>
      </c>
    </row>
    <row r="9" spans="4:18" ht="45.6" thickBot="1" x14ac:dyDescent="0.35">
      <c r="D9" s="3">
        <v>4</v>
      </c>
      <c r="E9" s="4" t="s">
        <v>8</v>
      </c>
      <c r="F9" s="7">
        <v>26596.080000000002</v>
      </c>
      <c r="G9" s="7">
        <v>1677.15</v>
      </c>
      <c r="H9" s="7">
        <v>28273.23</v>
      </c>
      <c r="I9" s="7">
        <v>10706.22</v>
      </c>
      <c r="N9" s="3">
        <v>4</v>
      </c>
      <c r="O9" s="4" t="s">
        <v>8</v>
      </c>
      <c r="P9" s="7">
        <v>1677.15</v>
      </c>
      <c r="Q9" s="7">
        <v>28273.23</v>
      </c>
      <c r="R9" s="30">
        <f t="shared" si="0"/>
        <v>5.9319363228042925E-2</v>
      </c>
    </row>
    <row r="10" spans="4:18" ht="45.6" thickBot="1" x14ac:dyDescent="0.35">
      <c r="D10" s="3">
        <v>5</v>
      </c>
      <c r="E10" s="4" t="s">
        <v>9</v>
      </c>
      <c r="F10" s="7">
        <v>36768.68</v>
      </c>
      <c r="G10" s="7">
        <v>5917.66</v>
      </c>
      <c r="H10" s="7">
        <v>42686.34</v>
      </c>
      <c r="I10" s="7">
        <v>71070.97</v>
      </c>
      <c r="N10" s="3">
        <v>5</v>
      </c>
      <c r="O10" s="4" t="s">
        <v>9</v>
      </c>
      <c r="P10" s="7">
        <v>5917.66</v>
      </c>
      <c r="Q10" s="7">
        <v>42686.34</v>
      </c>
      <c r="R10" s="30">
        <f t="shared" si="0"/>
        <v>0.13863123425433055</v>
      </c>
    </row>
    <row r="11" spans="4:18" ht="60.6" thickBot="1" x14ac:dyDescent="0.35">
      <c r="D11" s="3">
        <v>5.0999999999999996</v>
      </c>
      <c r="E11" s="4" t="s">
        <v>10</v>
      </c>
      <c r="F11" s="7">
        <v>4136.1099999999997</v>
      </c>
      <c r="G11" s="7">
        <v>134.49</v>
      </c>
      <c r="H11" s="7">
        <v>4270.6000000000004</v>
      </c>
      <c r="I11" s="7">
        <v>5446.04</v>
      </c>
      <c r="N11" s="3">
        <v>5.0999999999999996</v>
      </c>
      <c r="O11" s="4" t="s">
        <v>10</v>
      </c>
      <c r="P11" s="7">
        <v>134.49</v>
      </c>
      <c r="Q11" s="7">
        <v>4270.6000000000004</v>
      </c>
      <c r="R11" s="30">
        <f t="shared" si="0"/>
        <v>3.1492062005338828E-2</v>
      </c>
    </row>
    <row r="12" spans="4:18" ht="30.6" thickBot="1" x14ac:dyDescent="0.35">
      <c r="D12" s="3">
        <v>6</v>
      </c>
      <c r="E12" s="4" t="s">
        <v>11</v>
      </c>
      <c r="F12" s="7">
        <v>5415.12</v>
      </c>
      <c r="G12" s="7">
        <v>0</v>
      </c>
      <c r="H12" s="7">
        <v>5415</v>
      </c>
      <c r="I12" s="7">
        <v>4.0999999999999996</v>
      </c>
      <c r="N12" s="3">
        <v>6</v>
      </c>
      <c r="O12" s="4" t="s">
        <v>11</v>
      </c>
      <c r="P12" s="7">
        <v>0</v>
      </c>
      <c r="Q12" s="7">
        <v>5415</v>
      </c>
      <c r="R12" s="30">
        <f t="shared" si="0"/>
        <v>0</v>
      </c>
    </row>
    <row r="13" spans="4:18" ht="30.6" thickBot="1" x14ac:dyDescent="0.35">
      <c r="D13" s="3">
        <v>7</v>
      </c>
      <c r="E13" s="4" t="s">
        <v>12</v>
      </c>
      <c r="F13" s="7">
        <v>22392.79</v>
      </c>
      <c r="G13" s="7">
        <v>2183.16</v>
      </c>
      <c r="H13" s="7">
        <v>24575.95</v>
      </c>
      <c r="I13" s="7">
        <v>1654.77</v>
      </c>
      <c r="N13" s="3">
        <v>7</v>
      </c>
      <c r="O13" s="4" t="s">
        <v>12</v>
      </c>
      <c r="P13" s="7">
        <v>2183.16</v>
      </c>
      <c r="Q13" s="7">
        <v>24575.95</v>
      </c>
      <c r="R13" s="30">
        <f t="shared" si="0"/>
        <v>8.8833188544084757E-2</v>
      </c>
    </row>
    <row r="14" spans="4:18" ht="30.6" thickBot="1" x14ac:dyDescent="0.35">
      <c r="D14" s="3">
        <v>8</v>
      </c>
      <c r="E14" s="4" t="s">
        <v>13</v>
      </c>
      <c r="F14" s="7">
        <v>853.9</v>
      </c>
      <c r="G14" s="7">
        <v>41.75</v>
      </c>
      <c r="H14" s="7">
        <v>895.65</v>
      </c>
      <c r="I14" s="7">
        <v>40.31</v>
      </c>
      <c r="N14" s="3">
        <v>8</v>
      </c>
      <c r="O14" s="4" t="s">
        <v>13</v>
      </c>
      <c r="P14" s="7">
        <v>41.75</v>
      </c>
      <c r="Q14" s="7">
        <v>895.65</v>
      </c>
      <c r="R14" s="30">
        <f t="shared" si="0"/>
        <v>4.661419081114275E-2</v>
      </c>
    </row>
    <row r="15" spans="4:18" ht="30.6" thickBot="1" x14ac:dyDescent="0.35">
      <c r="D15" s="3">
        <v>9</v>
      </c>
      <c r="E15" s="4" t="s">
        <v>14</v>
      </c>
      <c r="F15" s="7">
        <v>11385.32</v>
      </c>
      <c r="G15" s="7">
        <v>1863.94</v>
      </c>
      <c r="H15" s="7">
        <v>13249.26</v>
      </c>
      <c r="I15" s="7">
        <v>1716.81</v>
      </c>
      <c r="N15" s="3">
        <v>9</v>
      </c>
      <c r="O15" s="4" t="s">
        <v>14</v>
      </c>
      <c r="P15" s="7">
        <v>1863.94</v>
      </c>
      <c r="Q15" s="7">
        <v>13249.26</v>
      </c>
      <c r="R15" s="30">
        <f t="shared" si="0"/>
        <v>0.14068257397016889</v>
      </c>
    </row>
    <row r="16" spans="4:18" ht="15.6" thickBot="1" x14ac:dyDescent="0.35">
      <c r="D16" s="3">
        <v>10</v>
      </c>
      <c r="E16" s="4" t="s">
        <v>15</v>
      </c>
      <c r="F16" s="7">
        <v>7191.2</v>
      </c>
      <c r="G16" s="7">
        <v>625.29</v>
      </c>
      <c r="H16" s="7">
        <v>7816.49</v>
      </c>
      <c r="I16" s="7">
        <v>1145.08</v>
      </c>
      <c r="N16" s="3">
        <v>10</v>
      </c>
      <c r="O16" s="4" t="s">
        <v>15</v>
      </c>
      <c r="P16" s="7">
        <v>625.29</v>
      </c>
      <c r="Q16" s="7">
        <v>7816.49</v>
      </c>
      <c r="R16" s="30">
        <f t="shared" si="0"/>
        <v>7.9996264307892667E-2</v>
      </c>
    </row>
    <row r="17" spans="4:18" ht="15.6" thickBot="1" x14ac:dyDescent="0.35">
      <c r="D17" s="3">
        <v>11</v>
      </c>
      <c r="E17" s="4" t="s">
        <v>16</v>
      </c>
      <c r="F17" s="7">
        <v>793.38</v>
      </c>
      <c r="G17" s="7">
        <v>131.44999999999999</v>
      </c>
      <c r="H17" s="7">
        <v>924.83</v>
      </c>
      <c r="I17" s="7">
        <v>21.82</v>
      </c>
      <c r="N17" s="3">
        <v>11</v>
      </c>
      <c r="O17" s="4" t="s">
        <v>16</v>
      </c>
      <c r="P17" s="7">
        <v>131.44999999999999</v>
      </c>
      <c r="Q17" s="7">
        <v>924.83</v>
      </c>
      <c r="R17" s="30">
        <f t="shared" si="0"/>
        <v>0.14213423007471643</v>
      </c>
    </row>
    <row r="18" spans="4:18" ht="45.6" thickBot="1" x14ac:dyDescent="0.35">
      <c r="D18" s="3">
        <v>12</v>
      </c>
      <c r="E18" s="4" t="s">
        <v>17</v>
      </c>
      <c r="F18" s="7">
        <v>60647.01</v>
      </c>
      <c r="G18" s="7">
        <v>6100.64</v>
      </c>
      <c r="H18" s="7">
        <v>66747.649999999994</v>
      </c>
      <c r="I18" s="7">
        <v>2528.5300000000002</v>
      </c>
      <c r="N18" s="3">
        <v>12</v>
      </c>
      <c r="O18" s="4" t="s">
        <v>17</v>
      </c>
      <c r="P18" s="7">
        <v>6100.64</v>
      </c>
      <c r="Q18" s="7">
        <v>66747.649999999994</v>
      </c>
      <c r="R18" s="30">
        <f t="shared" si="0"/>
        <v>9.1398573582740381E-2</v>
      </c>
    </row>
    <row r="19" spans="4:18" ht="60.6" thickBot="1" x14ac:dyDescent="0.35">
      <c r="D19" s="3">
        <v>13</v>
      </c>
      <c r="E19" s="4" t="s">
        <v>18</v>
      </c>
      <c r="F19" s="7">
        <v>4642.8100000000004</v>
      </c>
      <c r="G19" s="7">
        <v>688.82</v>
      </c>
      <c r="H19" s="7">
        <v>5331.63</v>
      </c>
      <c r="I19" s="7">
        <v>3434.74</v>
      </c>
      <c r="N19" s="3">
        <v>13</v>
      </c>
      <c r="O19" s="4" t="s">
        <v>18</v>
      </c>
      <c r="P19" s="7">
        <v>688.82</v>
      </c>
      <c r="Q19" s="7">
        <v>5331.63</v>
      </c>
      <c r="R19" s="30">
        <f t="shared" si="0"/>
        <v>0.12919501165684791</v>
      </c>
    </row>
    <row r="20" spans="4:18" ht="90.6" thickBot="1" x14ac:dyDescent="0.35">
      <c r="D20" s="3">
        <v>14</v>
      </c>
      <c r="E20" s="4" t="s">
        <v>19</v>
      </c>
      <c r="F20" s="7">
        <v>161.56</v>
      </c>
      <c r="G20" s="7">
        <v>125.55</v>
      </c>
      <c r="H20" s="7">
        <v>287.11</v>
      </c>
      <c r="I20" s="7">
        <v>151.19</v>
      </c>
      <c r="N20" s="3">
        <v>14</v>
      </c>
      <c r="O20" s="4" t="s">
        <v>19</v>
      </c>
      <c r="P20" s="7">
        <v>125.55</v>
      </c>
      <c r="Q20" s="7">
        <v>287.11</v>
      </c>
      <c r="R20" s="30">
        <f t="shared" si="0"/>
        <v>0.43728884399707424</v>
      </c>
    </row>
    <row r="21" spans="4:18" ht="60.6" thickBot="1" x14ac:dyDescent="0.35">
      <c r="D21" s="3">
        <v>15</v>
      </c>
      <c r="E21" s="4" t="s">
        <v>20</v>
      </c>
      <c r="F21" s="7">
        <v>4740.53</v>
      </c>
      <c r="G21" s="7">
        <v>649.54</v>
      </c>
      <c r="H21" s="7">
        <v>5390.07</v>
      </c>
      <c r="I21" s="7">
        <v>873.32</v>
      </c>
      <c r="N21" s="3">
        <v>15</v>
      </c>
      <c r="O21" s="4" t="s">
        <v>20</v>
      </c>
      <c r="P21" s="7">
        <v>649.54</v>
      </c>
      <c r="Q21" s="7">
        <v>5390.07</v>
      </c>
      <c r="R21" s="30">
        <f t="shared" si="0"/>
        <v>0.12050678377089723</v>
      </c>
    </row>
    <row r="22" spans="4:18" ht="75.599999999999994" thickBot="1" x14ac:dyDescent="0.35">
      <c r="D22" s="3">
        <v>16</v>
      </c>
      <c r="E22" s="4" t="s">
        <v>21</v>
      </c>
      <c r="F22" s="7">
        <v>7196.72</v>
      </c>
      <c r="G22" s="7">
        <v>858.33</v>
      </c>
      <c r="H22" s="7">
        <v>8055.05</v>
      </c>
      <c r="I22" s="7">
        <v>1842.16</v>
      </c>
      <c r="N22" s="3">
        <v>16</v>
      </c>
      <c r="O22" s="4" t="s">
        <v>21</v>
      </c>
      <c r="P22" s="7">
        <v>858.33</v>
      </c>
      <c r="Q22" s="7">
        <v>8055.05</v>
      </c>
      <c r="R22" s="30">
        <f t="shared" si="0"/>
        <v>0.10655799777779157</v>
      </c>
    </row>
    <row r="23" spans="4:18" ht="75.599999999999994" thickBot="1" x14ac:dyDescent="0.35">
      <c r="D23" s="3">
        <v>17</v>
      </c>
      <c r="E23" s="4" t="s">
        <v>22</v>
      </c>
      <c r="F23" s="7">
        <v>96613.85</v>
      </c>
      <c r="G23" s="7">
        <v>2897.3</v>
      </c>
      <c r="H23" s="7">
        <v>99511.15</v>
      </c>
      <c r="I23" s="7">
        <v>63456.4</v>
      </c>
      <c r="N23" s="3">
        <v>17</v>
      </c>
      <c r="O23" s="4" t="s">
        <v>22</v>
      </c>
      <c r="P23" s="7">
        <v>2897.3</v>
      </c>
      <c r="Q23" s="7">
        <v>99511.15</v>
      </c>
      <c r="R23" s="30">
        <f t="shared" si="0"/>
        <v>2.9115330292133097E-2</v>
      </c>
    </row>
    <row r="24" spans="4:18" ht="60.6" thickBot="1" x14ac:dyDescent="0.35">
      <c r="D24" s="3">
        <v>17.100000000000001</v>
      </c>
      <c r="E24" s="4" t="s">
        <v>23</v>
      </c>
      <c r="F24" s="7">
        <v>18258.14</v>
      </c>
      <c r="G24" s="7">
        <v>1069.21</v>
      </c>
      <c r="H24" s="7">
        <v>19327.349999999999</v>
      </c>
      <c r="I24" s="7">
        <v>8483.48</v>
      </c>
      <c r="N24" s="3">
        <v>17.100000000000001</v>
      </c>
      <c r="O24" s="4" t="s">
        <v>23</v>
      </c>
      <c r="P24" s="7">
        <v>1069.21</v>
      </c>
      <c r="Q24" s="7">
        <v>19327.349999999999</v>
      </c>
      <c r="R24" s="30">
        <f t="shared" si="0"/>
        <v>5.5321086439682629E-2</v>
      </c>
    </row>
    <row r="25" spans="4:18" ht="60.6" thickBot="1" x14ac:dyDescent="0.35">
      <c r="D25" s="3">
        <v>17.2</v>
      </c>
      <c r="E25" s="4" t="s">
        <v>24</v>
      </c>
      <c r="F25" s="7">
        <v>54873.15</v>
      </c>
      <c r="G25" s="7">
        <v>141.55000000000001</v>
      </c>
      <c r="H25" s="7">
        <v>55014.7</v>
      </c>
      <c r="I25" s="7">
        <v>44492.92</v>
      </c>
      <c r="N25" s="3">
        <v>17.2</v>
      </c>
      <c r="O25" s="4" t="s">
        <v>24</v>
      </c>
      <c r="P25" s="7">
        <v>141.55000000000001</v>
      </c>
      <c r="Q25" s="7">
        <v>55014.7</v>
      </c>
      <c r="R25" s="30">
        <f t="shared" si="0"/>
        <v>2.5729486846242915E-3</v>
      </c>
    </row>
    <row r="26" spans="4:18" ht="75.599999999999994" thickBot="1" x14ac:dyDescent="0.35">
      <c r="D26" s="3">
        <v>17.3</v>
      </c>
      <c r="E26" s="4" t="s">
        <v>25</v>
      </c>
      <c r="F26" s="7">
        <v>12710.78</v>
      </c>
      <c r="G26" s="7">
        <v>267.91000000000003</v>
      </c>
      <c r="H26" s="7">
        <v>12978.69</v>
      </c>
      <c r="I26" s="7">
        <v>2516.48</v>
      </c>
      <c r="N26" s="3">
        <v>17.3</v>
      </c>
      <c r="O26" s="4" t="s">
        <v>25</v>
      </c>
      <c r="P26" s="7">
        <v>267.91000000000003</v>
      </c>
      <c r="Q26" s="7">
        <v>12978.69</v>
      </c>
      <c r="R26" s="30">
        <f t="shared" si="0"/>
        <v>2.0642299030179473E-2</v>
      </c>
    </row>
    <row r="27" spans="4:18" ht="15.6" thickBot="1" x14ac:dyDescent="0.35">
      <c r="D27" s="3">
        <v>18</v>
      </c>
      <c r="E27" s="4" t="s">
        <v>26</v>
      </c>
      <c r="F27" s="7">
        <v>14332.7</v>
      </c>
      <c r="G27" s="7">
        <v>1172.06</v>
      </c>
      <c r="H27" s="7">
        <v>15504.76</v>
      </c>
      <c r="I27" s="7">
        <v>4104.7299999999996</v>
      </c>
      <c r="N27" s="3">
        <v>18</v>
      </c>
      <c r="O27" s="4" t="s">
        <v>26</v>
      </c>
      <c r="P27" s="7">
        <v>1172.06</v>
      </c>
      <c r="Q27" s="7">
        <v>15504.76</v>
      </c>
      <c r="R27" s="30">
        <f t="shared" si="0"/>
        <v>7.5593559655228459E-2</v>
      </c>
    </row>
    <row r="28" spans="4:18" ht="75.599999999999994" thickBot="1" x14ac:dyDescent="0.35">
      <c r="D28" s="3">
        <v>19</v>
      </c>
      <c r="E28" s="4" t="s">
        <v>27</v>
      </c>
      <c r="F28" s="7">
        <v>3051.37</v>
      </c>
      <c r="G28" s="7">
        <v>379.83</v>
      </c>
      <c r="H28" s="7">
        <v>3431.2</v>
      </c>
      <c r="I28" s="7">
        <v>338.31</v>
      </c>
      <c r="N28" s="3">
        <v>19</v>
      </c>
      <c r="O28" s="4" t="s">
        <v>27</v>
      </c>
      <c r="P28" s="7">
        <v>379.83</v>
      </c>
      <c r="Q28" s="7">
        <v>3431.2</v>
      </c>
      <c r="R28" s="30">
        <f t="shared" si="0"/>
        <v>0.11069888085800886</v>
      </c>
    </row>
    <row r="29" spans="4:18" ht="60.6" thickBot="1" x14ac:dyDescent="0.35">
      <c r="D29" s="3">
        <v>20</v>
      </c>
      <c r="E29" s="4" t="s">
        <v>28</v>
      </c>
      <c r="F29" s="7">
        <v>11630.98</v>
      </c>
      <c r="G29" s="7">
        <v>756.04</v>
      </c>
      <c r="H29" s="7">
        <v>12387.05</v>
      </c>
      <c r="I29" s="7">
        <v>1223.6600000000001</v>
      </c>
      <c r="N29" s="3">
        <v>20</v>
      </c>
      <c r="O29" s="4" t="s">
        <v>28</v>
      </c>
      <c r="P29" s="7">
        <v>756.04</v>
      </c>
      <c r="Q29" s="7">
        <v>12387.05</v>
      </c>
      <c r="R29" s="30">
        <f t="shared" si="0"/>
        <v>6.1034709636273367E-2</v>
      </c>
    </row>
    <row r="30" spans="4:18" ht="30.6" thickBot="1" x14ac:dyDescent="0.35">
      <c r="D30" s="3">
        <v>21</v>
      </c>
      <c r="E30" s="4" t="s">
        <v>29</v>
      </c>
      <c r="F30" s="7">
        <v>42944.59</v>
      </c>
      <c r="G30" s="7">
        <v>1337.12</v>
      </c>
      <c r="H30" s="7">
        <v>44281.71</v>
      </c>
      <c r="I30" s="7">
        <v>15126.71</v>
      </c>
      <c r="N30" s="3">
        <v>21</v>
      </c>
      <c r="O30" s="4" t="s">
        <v>29</v>
      </c>
      <c r="P30" s="7">
        <v>1337.12</v>
      </c>
      <c r="Q30" s="7">
        <v>44281.71</v>
      </c>
      <c r="R30" s="30">
        <f t="shared" si="0"/>
        <v>3.0195762539432191E-2</v>
      </c>
    </row>
    <row r="31" spans="4:18" ht="30.6" thickBot="1" x14ac:dyDescent="0.35">
      <c r="D31" s="3">
        <v>22</v>
      </c>
      <c r="E31" s="4" t="s">
        <v>30</v>
      </c>
      <c r="F31" s="7">
        <v>42678.63</v>
      </c>
      <c r="G31" s="7">
        <v>1123.52</v>
      </c>
      <c r="H31" s="7">
        <v>43802.15</v>
      </c>
      <c r="I31" s="7">
        <v>22414.01</v>
      </c>
      <c r="N31" s="3">
        <v>22</v>
      </c>
      <c r="O31" s="4" t="s">
        <v>30</v>
      </c>
      <c r="P31" s="7">
        <v>1123.52</v>
      </c>
      <c r="Q31" s="7">
        <v>43802.15</v>
      </c>
      <c r="R31" s="30">
        <f t="shared" si="0"/>
        <v>2.5649882482937481E-2</v>
      </c>
    </row>
    <row r="32" spans="4:18" ht="45.6" thickBot="1" x14ac:dyDescent="0.35">
      <c r="D32" s="3">
        <v>23</v>
      </c>
      <c r="E32" s="4" t="s">
        <v>31</v>
      </c>
      <c r="F32" s="7">
        <v>17102.16</v>
      </c>
      <c r="G32" s="7">
        <v>1181.1300000000001</v>
      </c>
      <c r="H32" s="7">
        <v>18283.29</v>
      </c>
      <c r="I32" s="7">
        <v>7369.36</v>
      </c>
      <c r="N32" s="3">
        <v>23</v>
      </c>
      <c r="O32" s="4" t="s">
        <v>31</v>
      </c>
      <c r="P32" s="7">
        <v>1181.1300000000001</v>
      </c>
      <c r="Q32" s="7">
        <v>18283.29</v>
      </c>
      <c r="R32" s="30">
        <f t="shared" si="0"/>
        <v>6.4601611635542622E-2</v>
      </c>
    </row>
    <row r="33" spans="4:18" ht="60.6" thickBot="1" x14ac:dyDescent="0.35">
      <c r="D33" s="3">
        <v>24</v>
      </c>
      <c r="E33" s="4" t="s">
        <v>32</v>
      </c>
      <c r="F33" s="7">
        <v>6171</v>
      </c>
      <c r="G33" s="7">
        <v>27.74</v>
      </c>
      <c r="H33" s="7">
        <v>6198.74</v>
      </c>
      <c r="I33" s="7">
        <v>1080.97</v>
      </c>
      <c r="N33" s="3">
        <v>24</v>
      </c>
      <c r="O33" s="4" t="s">
        <v>32</v>
      </c>
      <c r="P33" s="7">
        <v>27.74</v>
      </c>
      <c r="Q33" s="7">
        <v>6198.74</v>
      </c>
      <c r="R33" s="30">
        <f t="shared" si="0"/>
        <v>4.4751030048042024E-3</v>
      </c>
    </row>
    <row r="34" spans="4:18" ht="30.6" thickBot="1" x14ac:dyDescent="0.35">
      <c r="D34" s="3">
        <v>25</v>
      </c>
      <c r="E34" s="4" t="s">
        <v>33</v>
      </c>
      <c r="F34" s="7">
        <v>321807.62</v>
      </c>
      <c r="G34" s="7">
        <v>38742.83</v>
      </c>
      <c r="H34" s="7">
        <v>360550.45</v>
      </c>
      <c r="I34" s="7">
        <v>87327.039999999994</v>
      </c>
      <c r="N34" s="3">
        <v>25</v>
      </c>
      <c r="O34" s="4" t="s">
        <v>33</v>
      </c>
      <c r="P34" s="7">
        <v>38742.83</v>
      </c>
      <c r="Q34" s="7">
        <v>360550.45</v>
      </c>
      <c r="R34" s="30">
        <f t="shared" si="0"/>
        <v>0.10745467104534193</v>
      </c>
    </row>
    <row r="35" spans="4:18" ht="45.6" thickBot="1" x14ac:dyDescent="0.35">
      <c r="D35" s="3">
        <v>25.1</v>
      </c>
      <c r="E35" s="4" t="s">
        <v>34</v>
      </c>
      <c r="F35" s="7">
        <v>188577.08</v>
      </c>
      <c r="G35" s="7">
        <v>16970.28</v>
      </c>
      <c r="H35" s="7">
        <v>205547.36</v>
      </c>
      <c r="I35" s="7">
        <v>28493.66</v>
      </c>
      <c r="N35" s="3">
        <v>25.1</v>
      </c>
      <c r="O35" s="4" t="s">
        <v>34</v>
      </c>
      <c r="P35" s="7">
        <v>16970.28</v>
      </c>
      <c r="Q35" s="7">
        <v>205547.36</v>
      </c>
      <c r="R35" s="30">
        <f t="shared" si="0"/>
        <v>8.256141066467601E-2</v>
      </c>
    </row>
    <row r="36" spans="4:18" ht="75.599999999999994" thickBot="1" x14ac:dyDescent="0.35">
      <c r="D36" s="3">
        <v>25.2</v>
      </c>
      <c r="E36" s="4" t="s">
        <v>35</v>
      </c>
      <c r="F36" s="7">
        <v>29312.14</v>
      </c>
      <c r="G36" s="7">
        <v>5930.94</v>
      </c>
      <c r="H36" s="7">
        <v>35243.08</v>
      </c>
      <c r="I36" s="7">
        <v>9789.9500000000007</v>
      </c>
      <c r="N36" s="3">
        <v>25.2</v>
      </c>
      <c r="O36" s="4" t="s">
        <v>35</v>
      </c>
      <c r="P36" s="7">
        <v>5930.94</v>
      </c>
      <c r="Q36" s="7">
        <v>35243.08</v>
      </c>
      <c r="R36" s="30">
        <f t="shared" si="0"/>
        <v>0.16828665372038992</v>
      </c>
    </row>
    <row r="37" spans="4:18" ht="60.6" thickBot="1" x14ac:dyDescent="0.35">
      <c r="D37" s="3">
        <v>25.3</v>
      </c>
      <c r="E37" s="4" t="s">
        <v>36</v>
      </c>
      <c r="F37" s="7">
        <v>52943.37</v>
      </c>
      <c r="G37" s="7">
        <v>7280.83</v>
      </c>
      <c r="H37" s="7">
        <v>60224.2</v>
      </c>
      <c r="I37" s="7">
        <v>23657.119999999999</v>
      </c>
      <c r="N37" s="3">
        <v>25.3</v>
      </c>
      <c r="O37" s="4" t="s">
        <v>36</v>
      </c>
      <c r="P37" s="7">
        <v>7280.83</v>
      </c>
      <c r="Q37" s="7">
        <v>60224.2</v>
      </c>
      <c r="R37" s="30">
        <f t="shared" si="0"/>
        <v>0.12089542077769402</v>
      </c>
    </row>
    <row r="38" spans="4:18" ht="45.6" thickBot="1" x14ac:dyDescent="0.35">
      <c r="D38" s="3">
        <v>26</v>
      </c>
      <c r="E38" s="4" t="s">
        <v>37</v>
      </c>
      <c r="F38" s="7">
        <v>219181.11</v>
      </c>
      <c r="G38" s="7">
        <v>33580.32</v>
      </c>
      <c r="H38" s="7">
        <v>252761.43</v>
      </c>
      <c r="I38" s="7">
        <v>37501.35</v>
      </c>
      <c r="N38" s="3">
        <v>26</v>
      </c>
      <c r="O38" s="4" t="s">
        <v>37</v>
      </c>
      <c r="P38" s="7">
        <v>33580.32</v>
      </c>
      <c r="Q38" s="7">
        <v>252761.43</v>
      </c>
      <c r="R38" s="30">
        <f t="shared" si="0"/>
        <v>0.13285381396995577</v>
      </c>
    </row>
    <row r="39" spans="4:18" ht="45.6" thickBot="1" x14ac:dyDescent="0.35">
      <c r="D39" s="3">
        <v>27</v>
      </c>
      <c r="E39" s="4" t="s">
        <v>38</v>
      </c>
      <c r="F39" s="7">
        <v>375216.28</v>
      </c>
      <c r="G39" s="7">
        <v>18214.240000000002</v>
      </c>
      <c r="H39" s="7">
        <v>393430.51</v>
      </c>
      <c r="I39" s="7">
        <v>32614.73</v>
      </c>
      <c r="N39" s="3">
        <v>27</v>
      </c>
      <c r="O39" s="4" t="s">
        <v>38</v>
      </c>
      <c r="P39" s="7">
        <v>18214.240000000002</v>
      </c>
      <c r="Q39" s="7">
        <v>393430.51</v>
      </c>
      <c r="R39" s="30">
        <f t="shared" si="0"/>
        <v>4.6295951983998399E-2</v>
      </c>
    </row>
    <row r="40" spans="4:18" ht="60.6" thickBot="1" x14ac:dyDescent="0.35">
      <c r="D40" s="3">
        <v>28</v>
      </c>
      <c r="E40" s="4" t="s">
        <v>39</v>
      </c>
      <c r="F40" s="7">
        <v>901802.14</v>
      </c>
      <c r="G40" s="7">
        <v>21530.04</v>
      </c>
      <c r="H40" s="7">
        <v>923332.18</v>
      </c>
      <c r="I40" s="7">
        <v>26019.03</v>
      </c>
      <c r="N40" s="3">
        <v>28</v>
      </c>
      <c r="O40" s="4" t="s">
        <v>39</v>
      </c>
      <c r="P40" s="7">
        <v>21530.04</v>
      </c>
      <c r="Q40" s="7">
        <v>923332.18</v>
      </c>
      <c r="R40" s="30">
        <f t="shared" si="0"/>
        <v>2.3317761978143121E-2</v>
      </c>
    </row>
    <row r="41" spans="4:18" ht="16.2" thickBot="1" x14ac:dyDescent="0.35">
      <c r="D41" s="8"/>
      <c r="E41" s="9" t="s">
        <v>4</v>
      </c>
      <c r="F41" s="10">
        <v>2322153.4500000002</v>
      </c>
      <c r="G41" s="10">
        <v>150130.73000000001</v>
      </c>
      <c r="H41" s="10">
        <v>2472284.1800000002</v>
      </c>
      <c r="I41" s="10">
        <v>438978.29</v>
      </c>
      <c r="N41" s="8"/>
      <c r="O41" s="9" t="s">
        <v>4</v>
      </c>
      <c r="P41" s="10">
        <v>150130.73000000001</v>
      </c>
      <c r="Q41" s="10">
        <v>2472284.1800000002</v>
      </c>
      <c r="R41" s="30">
        <f t="shared" si="0"/>
        <v>6.0725514977003979E-2</v>
      </c>
    </row>
  </sheetData>
  <mergeCells count="11">
    <mergeCell ref="Q4:Q5"/>
    <mergeCell ref="R4:R5"/>
    <mergeCell ref="D2:I2"/>
    <mergeCell ref="N2:R2"/>
    <mergeCell ref="D4:D5"/>
    <mergeCell ref="E4:E5"/>
    <mergeCell ref="F4:H4"/>
    <mergeCell ref="I4:I5"/>
    <mergeCell ref="N4:N5"/>
    <mergeCell ref="O4:O5"/>
    <mergeCell ref="P4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C588-02F9-4B33-AC21-9FD3B9A7C4B2}">
  <dimension ref="D2:R41"/>
  <sheetViews>
    <sheetView workbookViewId="0">
      <selection activeCell="D2" sqref="D2:R41"/>
    </sheetView>
  </sheetViews>
  <sheetFormatPr defaultRowHeight="14.4" x14ac:dyDescent="0.3"/>
  <sheetData>
    <row r="2" spans="4:18" x14ac:dyDescent="0.3">
      <c r="D2" s="29" t="s">
        <v>56</v>
      </c>
      <c r="E2" s="29"/>
      <c r="F2" s="29"/>
      <c r="G2" s="29"/>
      <c r="H2" s="29"/>
      <c r="I2" s="29"/>
      <c r="N2" s="29" t="s">
        <v>55</v>
      </c>
      <c r="O2" s="29"/>
      <c r="P2" s="29"/>
      <c r="Q2" s="29"/>
      <c r="R2" s="29"/>
    </row>
    <row r="3" spans="4:18" ht="15" thickBot="1" x14ac:dyDescent="0.35"/>
    <row r="4" spans="4:18" ht="31.2" customHeight="1" thickBot="1" x14ac:dyDescent="0.35">
      <c r="D4" s="18" t="s">
        <v>0</v>
      </c>
      <c r="E4" s="20" t="s">
        <v>1</v>
      </c>
      <c r="F4" s="27" t="s">
        <v>2</v>
      </c>
      <c r="G4" s="26"/>
      <c r="H4" s="28"/>
      <c r="I4" s="18" t="s">
        <v>46</v>
      </c>
      <c r="N4" s="18" t="s">
        <v>0</v>
      </c>
      <c r="O4" s="20" t="s">
        <v>1</v>
      </c>
      <c r="P4" s="20" t="s">
        <v>3</v>
      </c>
      <c r="Q4" s="20" t="s">
        <v>4</v>
      </c>
      <c r="R4" s="20" t="s">
        <v>49</v>
      </c>
    </row>
    <row r="5" spans="4:18" ht="31.8" thickBot="1" x14ac:dyDescent="0.35">
      <c r="D5" s="19"/>
      <c r="E5" s="21"/>
      <c r="F5" s="25" t="s">
        <v>47</v>
      </c>
      <c r="G5" s="1" t="s">
        <v>3</v>
      </c>
      <c r="H5" s="2" t="s">
        <v>4</v>
      </c>
      <c r="I5" s="19"/>
      <c r="N5" s="19"/>
      <c r="O5" s="21"/>
      <c r="P5" s="21"/>
      <c r="Q5" s="21"/>
      <c r="R5" s="21"/>
    </row>
    <row r="6" spans="4:18" ht="15.6" thickBot="1" x14ac:dyDescent="0.35">
      <c r="D6" s="3">
        <v>1</v>
      </c>
      <c r="E6" s="4" t="s">
        <v>5</v>
      </c>
      <c r="F6" s="7">
        <v>8131.5</v>
      </c>
      <c r="G6" s="7">
        <v>701.79</v>
      </c>
      <c r="H6" s="7">
        <v>8833.2900000000009</v>
      </c>
      <c r="I6" s="7">
        <v>5612.45</v>
      </c>
      <c r="N6" s="3">
        <v>1</v>
      </c>
      <c r="O6" s="4" t="s">
        <v>5</v>
      </c>
      <c r="P6" s="7">
        <v>701.79</v>
      </c>
      <c r="Q6" s="7">
        <v>8833.2900000000009</v>
      </c>
      <c r="R6" s="30">
        <f>P6/Q6</f>
        <v>7.9448314274749257E-2</v>
      </c>
    </row>
    <row r="7" spans="4:18" ht="15.6" thickBot="1" x14ac:dyDescent="0.35">
      <c r="D7" s="3">
        <v>2</v>
      </c>
      <c r="E7" s="4" t="s">
        <v>6</v>
      </c>
      <c r="F7" s="7">
        <v>6019.31</v>
      </c>
      <c r="G7" s="7">
        <v>139.6</v>
      </c>
      <c r="H7" s="7">
        <v>6158.91</v>
      </c>
      <c r="I7" s="7">
        <v>1641.72</v>
      </c>
      <c r="N7" s="3">
        <v>2</v>
      </c>
      <c r="O7" s="4" t="s">
        <v>6</v>
      </c>
      <c r="P7" s="7">
        <v>139.6</v>
      </c>
      <c r="Q7" s="7">
        <v>6158.91</v>
      </c>
      <c r="R7" s="30">
        <f t="shared" ref="R7:R41" si="0">P7/Q7</f>
        <v>2.2666348428536869E-2</v>
      </c>
    </row>
    <row r="8" spans="4:18" ht="30.6" thickBot="1" x14ac:dyDescent="0.35">
      <c r="D8" s="3">
        <v>3</v>
      </c>
      <c r="E8" s="4" t="s">
        <v>7</v>
      </c>
      <c r="F8" s="7">
        <v>59824.7</v>
      </c>
      <c r="G8" s="7">
        <v>3215.94</v>
      </c>
      <c r="H8" s="7">
        <v>63040.639999999999</v>
      </c>
      <c r="I8" s="7">
        <v>38985.9</v>
      </c>
      <c r="N8" s="3">
        <v>3</v>
      </c>
      <c r="O8" s="4" t="s">
        <v>7</v>
      </c>
      <c r="P8" s="7">
        <v>3215.94</v>
      </c>
      <c r="Q8" s="7">
        <v>63040.639999999999</v>
      </c>
      <c r="R8" s="30">
        <f t="shared" si="0"/>
        <v>5.1013758743566055E-2</v>
      </c>
    </row>
    <row r="9" spans="4:18" ht="45.6" thickBot="1" x14ac:dyDescent="0.35">
      <c r="D9" s="3">
        <v>4</v>
      </c>
      <c r="E9" s="4" t="s">
        <v>8</v>
      </c>
      <c r="F9" s="7">
        <v>36557.97</v>
      </c>
      <c r="G9" s="7">
        <v>1176.44</v>
      </c>
      <c r="H9" s="7">
        <v>37734.410000000003</v>
      </c>
      <c r="I9" s="7">
        <v>9962.7199999999993</v>
      </c>
      <c r="N9" s="3">
        <v>4</v>
      </c>
      <c r="O9" s="4" t="s">
        <v>8</v>
      </c>
      <c r="P9" s="7">
        <v>1176.44</v>
      </c>
      <c r="Q9" s="7">
        <v>37734.410000000003</v>
      </c>
      <c r="R9" s="30">
        <f t="shared" si="0"/>
        <v>3.1176848929133912E-2</v>
      </c>
    </row>
    <row r="10" spans="4:18" ht="45.6" thickBot="1" x14ac:dyDescent="0.35">
      <c r="D10" s="3">
        <v>5</v>
      </c>
      <c r="E10" s="4" t="s">
        <v>9</v>
      </c>
      <c r="F10" s="7">
        <v>33255.269999999997</v>
      </c>
      <c r="G10" s="7">
        <v>4994.74</v>
      </c>
      <c r="H10" s="7">
        <v>38250.01</v>
      </c>
      <c r="I10" s="7">
        <v>72079.91</v>
      </c>
      <c r="N10" s="3">
        <v>5</v>
      </c>
      <c r="O10" s="4" t="s">
        <v>9</v>
      </c>
      <c r="P10" s="7">
        <v>4994.74</v>
      </c>
      <c r="Q10" s="7">
        <v>38250.01</v>
      </c>
      <c r="R10" s="30">
        <f t="shared" si="0"/>
        <v>0.13058140376956762</v>
      </c>
    </row>
    <row r="11" spans="4:18" ht="60.6" thickBot="1" x14ac:dyDescent="0.35">
      <c r="D11" s="3">
        <v>5.0999999999999996</v>
      </c>
      <c r="E11" s="4" t="s">
        <v>10</v>
      </c>
      <c r="F11" s="7">
        <v>4150.5600000000004</v>
      </c>
      <c r="G11" s="7">
        <v>98.49</v>
      </c>
      <c r="H11" s="7">
        <v>4249.05</v>
      </c>
      <c r="I11" s="7">
        <v>6492.56</v>
      </c>
      <c r="N11" s="3">
        <v>5.0999999999999996</v>
      </c>
      <c r="O11" s="4" t="s">
        <v>10</v>
      </c>
      <c r="P11" s="7">
        <v>98.49</v>
      </c>
      <c r="Q11" s="7">
        <v>4249.05</v>
      </c>
      <c r="R11" s="30">
        <f t="shared" si="0"/>
        <v>2.3179298902107529E-2</v>
      </c>
    </row>
    <row r="12" spans="4:18" ht="30.6" thickBot="1" x14ac:dyDescent="0.35">
      <c r="D12" s="3">
        <v>6</v>
      </c>
      <c r="E12" s="4" t="s">
        <v>11</v>
      </c>
      <c r="F12" s="7">
        <v>5415.98</v>
      </c>
      <c r="G12" s="7">
        <v>0</v>
      </c>
      <c r="H12" s="7">
        <v>5415.98</v>
      </c>
      <c r="I12" s="7">
        <v>0</v>
      </c>
      <c r="N12" s="3">
        <v>6</v>
      </c>
      <c r="O12" s="4" t="s">
        <v>11</v>
      </c>
      <c r="P12" s="7">
        <v>0</v>
      </c>
      <c r="Q12" s="7">
        <v>5415.98</v>
      </c>
      <c r="R12" s="30">
        <f t="shared" si="0"/>
        <v>0</v>
      </c>
    </row>
    <row r="13" spans="4:18" ht="30.6" thickBot="1" x14ac:dyDescent="0.35">
      <c r="D13" s="3">
        <v>7</v>
      </c>
      <c r="E13" s="4" t="s">
        <v>12</v>
      </c>
      <c r="F13" s="7">
        <v>22180.05</v>
      </c>
      <c r="G13" s="7">
        <v>1792.1</v>
      </c>
      <c r="H13" s="7">
        <v>23972.15</v>
      </c>
      <c r="I13" s="7">
        <v>1451.87</v>
      </c>
      <c r="N13" s="3">
        <v>7</v>
      </c>
      <c r="O13" s="4" t="s">
        <v>12</v>
      </c>
      <c r="P13" s="7">
        <v>1792.1</v>
      </c>
      <c r="Q13" s="7">
        <v>23972.15</v>
      </c>
      <c r="R13" s="30">
        <f t="shared" si="0"/>
        <v>7.4757583278929923E-2</v>
      </c>
    </row>
    <row r="14" spans="4:18" ht="30.6" thickBot="1" x14ac:dyDescent="0.35">
      <c r="D14" s="3">
        <v>8</v>
      </c>
      <c r="E14" s="4" t="s">
        <v>13</v>
      </c>
      <c r="F14" s="7">
        <v>997.9</v>
      </c>
      <c r="G14" s="7">
        <v>49.23</v>
      </c>
      <c r="H14" s="7">
        <v>1047.1300000000001</v>
      </c>
      <c r="I14" s="7">
        <v>42.15</v>
      </c>
      <c r="N14" s="3">
        <v>8</v>
      </c>
      <c r="O14" s="4" t="s">
        <v>13</v>
      </c>
      <c r="P14" s="7">
        <v>49.23</v>
      </c>
      <c r="Q14" s="7">
        <v>1047.1300000000001</v>
      </c>
      <c r="R14" s="30">
        <f t="shared" si="0"/>
        <v>4.7014219819888639E-2</v>
      </c>
    </row>
    <row r="15" spans="4:18" ht="30.6" thickBot="1" x14ac:dyDescent="0.35">
      <c r="D15" s="3">
        <v>9</v>
      </c>
      <c r="E15" s="4" t="s">
        <v>14</v>
      </c>
      <c r="F15" s="7">
        <v>11589.37</v>
      </c>
      <c r="G15" s="7">
        <v>1635.79</v>
      </c>
      <c r="H15" s="7">
        <v>13225.16</v>
      </c>
      <c r="I15" s="7">
        <v>2831</v>
      </c>
      <c r="N15" s="3">
        <v>9</v>
      </c>
      <c r="O15" s="4" t="s">
        <v>14</v>
      </c>
      <c r="P15" s="7">
        <v>1635.79</v>
      </c>
      <c r="Q15" s="7">
        <v>13225.16</v>
      </c>
      <c r="R15" s="30">
        <f t="shared" si="0"/>
        <v>0.12368772854165848</v>
      </c>
    </row>
    <row r="16" spans="4:18" ht="15.6" thickBot="1" x14ac:dyDescent="0.35">
      <c r="D16" s="3">
        <v>10</v>
      </c>
      <c r="E16" s="4" t="s">
        <v>15</v>
      </c>
      <c r="F16" s="7">
        <v>5850.94</v>
      </c>
      <c r="G16" s="7">
        <v>566.02</v>
      </c>
      <c r="H16" s="7">
        <v>6416.96</v>
      </c>
      <c r="I16" s="7">
        <v>962.06</v>
      </c>
      <c r="N16" s="3">
        <v>10</v>
      </c>
      <c r="O16" s="4" t="s">
        <v>15</v>
      </c>
      <c r="P16" s="7">
        <v>566.02</v>
      </c>
      <c r="Q16" s="7">
        <v>6416.96</v>
      </c>
      <c r="R16" s="30">
        <f t="shared" si="0"/>
        <v>8.8206876776542154E-2</v>
      </c>
    </row>
    <row r="17" spans="4:18" ht="15.6" thickBot="1" x14ac:dyDescent="0.35">
      <c r="D17" s="3">
        <v>11</v>
      </c>
      <c r="E17" s="4" t="s">
        <v>16</v>
      </c>
      <c r="F17" s="7">
        <v>828.98</v>
      </c>
      <c r="G17" s="7">
        <v>82.68</v>
      </c>
      <c r="H17" s="7">
        <v>911.66</v>
      </c>
      <c r="I17" s="7">
        <v>44.58</v>
      </c>
      <c r="N17" s="3">
        <v>11</v>
      </c>
      <c r="O17" s="4" t="s">
        <v>16</v>
      </c>
      <c r="P17" s="7">
        <v>82.68</v>
      </c>
      <c r="Q17" s="7">
        <v>911.66</v>
      </c>
      <c r="R17" s="30">
        <f t="shared" si="0"/>
        <v>9.0691705240988976E-2</v>
      </c>
    </row>
    <row r="18" spans="4:18" ht="45.6" thickBot="1" x14ac:dyDescent="0.35">
      <c r="D18" s="3">
        <v>12</v>
      </c>
      <c r="E18" s="4" t="s">
        <v>17</v>
      </c>
      <c r="F18" s="7">
        <v>83494.03</v>
      </c>
      <c r="G18" s="7">
        <v>5215.16</v>
      </c>
      <c r="H18" s="7">
        <v>88709.19</v>
      </c>
      <c r="I18" s="7">
        <v>3010.52</v>
      </c>
      <c r="N18" s="3">
        <v>12</v>
      </c>
      <c r="O18" s="4" t="s">
        <v>17</v>
      </c>
      <c r="P18" s="7">
        <v>5215.16</v>
      </c>
      <c r="Q18" s="7">
        <v>88709.19</v>
      </c>
      <c r="R18" s="30">
        <f t="shared" si="0"/>
        <v>5.8789399384663522E-2</v>
      </c>
    </row>
    <row r="19" spans="4:18" ht="60.6" thickBot="1" x14ac:dyDescent="0.35">
      <c r="D19" s="3">
        <v>13</v>
      </c>
      <c r="E19" s="4" t="s">
        <v>18</v>
      </c>
      <c r="F19" s="7">
        <v>5131.54</v>
      </c>
      <c r="G19" s="7">
        <v>590.99</v>
      </c>
      <c r="H19" s="7">
        <v>5722.53</v>
      </c>
      <c r="I19" s="7">
        <v>2950.86</v>
      </c>
      <c r="N19" s="3">
        <v>13</v>
      </c>
      <c r="O19" s="4" t="s">
        <v>18</v>
      </c>
      <c r="P19" s="7">
        <v>590.99</v>
      </c>
      <c r="Q19" s="7">
        <v>5722.53</v>
      </c>
      <c r="R19" s="30">
        <f t="shared" si="0"/>
        <v>0.10327425107426261</v>
      </c>
    </row>
    <row r="20" spans="4:18" ht="90.6" thickBot="1" x14ac:dyDescent="0.35">
      <c r="D20" s="3">
        <v>14</v>
      </c>
      <c r="E20" s="4" t="s">
        <v>19</v>
      </c>
      <c r="F20" s="7">
        <v>162.15</v>
      </c>
      <c r="G20" s="7">
        <v>17.489999999999998</v>
      </c>
      <c r="H20" s="7">
        <v>179.64</v>
      </c>
      <c r="I20" s="7">
        <v>192.08</v>
      </c>
      <c r="N20" s="3">
        <v>14</v>
      </c>
      <c r="O20" s="4" t="s">
        <v>19</v>
      </c>
      <c r="P20" s="7">
        <v>17.489999999999998</v>
      </c>
      <c r="Q20" s="7">
        <v>179.64</v>
      </c>
      <c r="R20" s="30">
        <f t="shared" si="0"/>
        <v>9.7361389445557778E-2</v>
      </c>
    </row>
    <row r="21" spans="4:18" ht="60.6" thickBot="1" x14ac:dyDescent="0.35">
      <c r="D21" s="3">
        <v>15</v>
      </c>
      <c r="E21" s="4" t="s">
        <v>20</v>
      </c>
      <c r="F21" s="7">
        <v>5046.68</v>
      </c>
      <c r="G21" s="7">
        <v>634.69000000000005</v>
      </c>
      <c r="H21" s="7">
        <v>5681.37</v>
      </c>
      <c r="I21" s="7">
        <v>1015.62</v>
      </c>
      <c r="N21" s="3">
        <v>15</v>
      </c>
      <c r="O21" s="4" t="s">
        <v>20</v>
      </c>
      <c r="P21" s="7">
        <v>634.69000000000005</v>
      </c>
      <c r="Q21" s="7">
        <v>5681.37</v>
      </c>
      <c r="R21" s="30">
        <f t="shared" si="0"/>
        <v>0.11171425202019937</v>
      </c>
    </row>
    <row r="22" spans="4:18" ht="75.599999999999994" thickBot="1" x14ac:dyDescent="0.35">
      <c r="D22" s="3">
        <v>16</v>
      </c>
      <c r="E22" s="4" t="s">
        <v>21</v>
      </c>
      <c r="F22" s="7">
        <v>7550.64</v>
      </c>
      <c r="G22" s="7">
        <v>903.94</v>
      </c>
      <c r="H22" s="7">
        <v>8454.58</v>
      </c>
      <c r="I22" s="7">
        <v>2042.9</v>
      </c>
      <c r="N22" s="3">
        <v>16</v>
      </c>
      <c r="O22" s="4" t="s">
        <v>21</v>
      </c>
      <c r="P22" s="7">
        <v>903.94</v>
      </c>
      <c r="Q22" s="7">
        <v>8454.58</v>
      </c>
      <c r="R22" s="30">
        <f t="shared" si="0"/>
        <v>0.10691719754263371</v>
      </c>
    </row>
    <row r="23" spans="4:18" ht="75.599999999999994" thickBot="1" x14ac:dyDescent="0.35">
      <c r="D23" s="3">
        <v>17</v>
      </c>
      <c r="E23" s="4" t="s">
        <v>22</v>
      </c>
      <c r="F23" s="7">
        <v>83261.39</v>
      </c>
      <c r="G23" s="7">
        <v>3202.67</v>
      </c>
      <c r="H23" s="7">
        <v>86464.06</v>
      </c>
      <c r="I23" s="7">
        <v>57375.42</v>
      </c>
      <c r="N23" s="3">
        <v>17</v>
      </c>
      <c r="O23" s="4" t="s">
        <v>22</v>
      </c>
      <c r="P23" s="7">
        <v>3202.67</v>
      </c>
      <c r="Q23" s="7">
        <v>86464.06</v>
      </c>
      <c r="R23" s="30">
        <f t="shared" si="0"/>
        <v>3.7040476702111837E-2</v>
      </c>
    </row>
    <row r="24" spans="4:18" ht="60.6" thickBot="1" x14ac:dyDescent="0.35">
      <c r="D24" s="3">
        <v>17.100000000000001</v>
      </c>
      <c r="E24" s="4" t="s">
        <v>23</v>
      </c>
      <c r="F24" s="7">
        <v>17024.169999999998</v>
      </c>
      <c r="G24" s="7">
        <v>1015.5</v>
      </c>
      <c r="H24" s="7">
        <v>18039.669999999998</v>
      </c>
      <c r="I24" s="7">
        <v>7503.33</v>
      </c>
      <c r="N24" s="3">
        <v>17.100000000000001</v>
      </c>
      <c r="O24" s="4" t="s">
        <v>23</v>
      </c>
      <c r="P24" s="7">
        <v>1015.5</v>
      </c>
      <c r="Q24" s="7">
        <v>18039.669999999998</v>
      </c>
      <c r="R24" s="30">
        <f t="shared" si="0"/>
        <v>5.6292604022135664E-2</v>
      </c>
    </row>
    <row r="25" spans="4:18" ht="60.6" thickBot="1" x14ac:dyDescent="0.35">
      <c r="D25" s="3">
        <v>17.2</v>
      </c>
      <c r="E25" s="4" t="s">
        <v>24</v>
      </c>
      <c r="F25" s="7">
        <v>42891.81</v>
      </c>
      <c r="G25" s="7">
        <v>146.11000000000001</v>
      </c>
      <c r="H25" s="7">
        <v>43037.919999999998</v>
      </c>
      <c r="I25" s="7">
        <v>38445.74</v>
      </c>
      <c r="N25" s="3">
        <v>17.2</v>
      </c>
      <c r="O25" s="4" t="s">
        <v>24</v>
      </c>
      <c r="P25" s="7">
        <v>146.11000000000001</v>
      </c>
      <c r="Q25" s="7">
        <v>43037.919999999998</v>
      </c>
      <c r="R25" s="30">
        <f t="shared" si="0"/>
        <v>3.394913137066104E-3</v>
      </c>
    </row>
    <row r="26" spans="4:18" ht="75.599999999999994" thickBot="1" x14ac:dyDescent="0.35">
      <c r="D26" s="3">
        <v>17.3</v>
      </c>
      <c r="E26" s="4" t="s">
        <v>25</v>
      </c>
      <c r="F26" s="7">
        <v>11992.73</v>
      </c>
      <c r="G26" s="7">
        <v>627.16999999999996</v>
      </c>
      <c r="H26" s="7">
        <v>12619.9</v>
      </c>
      <c r="I26" s="7">
        <v>2379.9899999999998</v>
      </c>
      <c r="N26" s="3">
        <v>17.3</v>
      </c>
      <c r="O26" s="4" t="s">
        <v>25</v>
      </c>
      <c r="P26" s="7">
        <v>627.16999999999996</v>
      </c>
      <c r="Q26" s="7">
        <v>12619.9</v>
      </c>
      <c r="R26" s="30">
        <f t="shared" si="0"/>
        <v>4.9696907265509231E-2</v>
      </c>
    </row>
    <row r="27" spans="4:18" ht="15.6" thickBot="1" x14ac:dyDescent="0.35">
      <c r="D27" s="3">
        <v>18</v>
      </c>
      <c r="E27" s="4" t="s">
        <v>26</v>
      </c>
      <c r="F27" s="7">
        <v>11719.63</v>
      </c>
      <c r="G27" s="7">
        <v>754.9</v>
      </c>
      <c r="H27" s="7">
        <v>12474.53</v>
      </c>
      <c r="I27" s="7">
        <v>4289.38</v>
      </c>
      <c r="N27" s="3">
        <v>18</v>
      </c>
      <c r="O27" s="4" t="s">
        <v>26</v>
      </c>
      <c r="P27" s="7">
        <v>754.9</v>
      </c>
      <c r="Q27" s="7">
        <v>12474.53</v>
      </c>
      <c r="R27" s="30">
        <f t="shared" si="0"/>
        <v>6.0515305987480082E-2</v>
      </c>
    </row>
    <row r="28" spans="4:18" ht="75.599999999999994" thickBot="1" x14ac:dyDescent="0.35">
      <c r="D28" s="3">
        <v>19</v>
      </c>
      <c r="E28" s="4" t="s">
        <v>27</v>
      </c>
      <c r="F28" s="7">
        <v>3063.77</v>
      </c>
      <c r="G28" s="7">
        <v>381.42</v>
      </c>
      <c r="H28" s="7">
        <v>3445.19</v>
      </c>
      <c r="I28" s="7">
        <v>376.54</v>
      </c>
      <c r="N28" s="3">
        <v>19</v>
      </c>
      <c r="O28" s="4" t="s">
        <v>27</v>
      </c>
      <c r="P28" s="7">
        <v>381.42</v>
      </c>
      <c r="Q28" s="7">
        <v>3445.19</v>
      </c>
      <c r="R28" s="30">
        <f t="shared" si="0"/>
        <v>0.11071087516218264</v>
      </c>
    </row>
    <row r="29" spans="4:18" ht="60.6" thickBot="1" x14ac:dyDescent="0.35">
      <c r="D29" s="3">
        <v>20</v>
      </c>
      <c r="E29" s="4" t="s">
        <v>28</v>
      </c>
      <c r="F29" s="7">
        <v>11979.86</v>
      </c>
      <c r="G29" s="7">
        <v>532.75</v>
      </c>
      <c r="H29" s="7">
        <v>12512.61</v>
      </c>
      <c r="I29" s="7">
        <v>1098.8699999999999</v>
      </c>
      <c r="N29" s="3">
        <v>20</v>
      </c>
      <c r="O29" s="4" t="s">
        <v>28</v>
      </c>
      <c r="P29" s="7">
        <v>532.75</v>
      </c>
      <c r="Q29" s="7">
        <v>12512.61</v>
      </c>
      <c r="R29" s="30">
        <f t="shared" si="0"/>
        <v>4.2577048273701491E-2</v>
      </c>
    </row>
    <row r="30" spans="4:18" ht="30.6" thickBot="1" x14ac:dyDescent="0.35">
      <c r="D30" s="3">
        <v>21</v>
      </c>
      <c r="E30" s="4" t="s">
        <v>29</v>
      </c>
      <c r="F30" s="7">
        <v>45623.8</v>
      </c>
      <c r="G30" s="7">
        <v>1331.58</v>
      </c>
      <c r="H30" s="7">
        <v>46955.38</v>
      </c>
      <c r="I30" s="7">
        <v>16247.42</v>
      </c>
      <c r="N30" s="3">
        <v>21</v>
      </c>
      <c r="O30" s="4" t="s">
        <v>29</v>
      </c>
      <c r="P30" s="7">
        <v>1331.58</v>
      </c>
      <c r="Q30" s="7">
        <v>46955.38</v>
      </c>
      <c r="R30" s="30">
        <f t="shared" si="0"/>
        <v>2.8358411751752407E-2</v>
      </c>
    </row>
    <row r="31" spans="4:18" ht="30.6" thickBot="1" x14ac:dyDescent="0.35">
      <c r="D31" s="3">
        <v>22</v>
      </c>
      <c r="E31" s="4" t="s">
        <v>30</v>
      </c>
      <c r="F31" s="7">
        <v>44073.69</v>
      </c>
      <c r="G31" s="7">
        <v>342.68</v>
      </c>
      <c r="H31" s="7">
        <v>44416.37</v>
      </c>
      <c r="I31" s="7">
        <v>24784.78</v>
      </c>
      <c r="N31" s="3">
        <v>22</v>
      </c>
      <c r="O31" s="4" t="s">
        <v>30</v>
      </c>
      <c r="P31" s="7">
        <v>342.68</v>
      </c>
      <c r="Q31" s="7">
        <v>44416.37</v>
      </c>
      <c r="R31" s="30">
        <f t="shared" si="0"/>
        <v>7.7151734822093745E-3</v>
      </c>
    </row>
    <row r="32" spans="4:18" ht="45.6" thickBot="1" x14ac:dyDescent="0.35">
      <c r="D32" s="3">
        <v>23</v>
      </c>
      <c r="E32" s="4" t="s">
        <v>31</v>
      </c>
      <c r="F32" s="7">
        <v>16298.32</v>
      </c>
      <c r="G32" s="7">
        <v>911.67</v>
      </c>
      <c r="H32" s="7">
        <v>17210</v>
      </c>
      <c r="I32" s="7">
        <v>8397.26</v>
      </c>
      <c r="N32" s="3">
        <v>23</v>
      </c>
      <c r="O32" s="4" t="s">
        <v>31</v>
      </c>
      <c r="P32" s="7">
        <v>911.67</v>
      </c>
      <c r="Q32" s="7">
        <v>17210</v>
      </c>
      <c r="R32" s="30">
        <f t="shared" si="0"/>
        <v>5.2973271353864031E-2</v>
      </c>
    </row>
    <row r="33" spans="4:18" ht="60.6" thickBot="1" x14ac:dyDescent="0.35">
      <c r="D33" s="3">
        <v>24</v>
      </c>
      <c r="E33" s="4" t="s">
        <v>32</v>
      </c>
      <c r="F33" s="7">
        <v>6779.93</v>
      </c>
      <c r="G33" s="7">
        <v>4.7</v>
      </c>
      <c r="H33" s="7">
        <v>6784.63</v>
      </c>
      <c r="I33" s="7">
        <v>1611.85</v>
      </c>
      <c r="N33" s="3">
        <v>24</v>
      </c>
      <c r="O33" s="4" t="s">
        <v>32</v>
      </c>
      <c r="P33" s="7">
        <v>4.7</v>
      </c>
      <c r="Q33" s="7">
        <v>6784.63</v>
      </c>
      <c r="R33" s="30">
        <f t="shared" si="0"/>
        <v>6.9274227187038936E-4</v>
      </c>
    </row>
    <row r="34" spans="4:18" ht="30.6" thickBot="1" x14ac:dyDescent="0.35">
      <c r="D34" s="3">
        <v>25</v>
      </c>
      <c r="E34" s="4" t="s">
        <v>33</v>
      </c>
      <c r="F34" s="7">
        <v>327512.3</v>
      </c>
      <c r="G34" s="7">
        <v>31999.85</v>
      </c>
      <c r="H34" s="7">
        <v>359512.15</v>
      </c>
      <c r="I34" s="7">
        <v>92979.33</v>
      </c>
      <c r="N34" s="3">
        <v>25</v>
      </c>
      <c r="O34" s="4" t="s">
        <v>33</v>
      </c>
      <c r="P34" s="7">
        <v>31999.85</v>
      </c>
      <c r="Q34" s="7">
        <v>359512.15</v>
      </c>
      <c r="R34" s="30">
        <f t="shared" si="0"/>
        <v>8.9009091904126175E-2</v>
      </c>
    </row>
    <row r="35" spans="4:18" ht="45.6" thickBot="1" x14ac:dyDescent="0.35">
      <c r="D35" s="3">
        <v>25.1</v>
      </c>
      <c r="E35" s="4" t="s">
        <v>34</v>
      </c>
      <c r="F35" s="7">
        <v>179004.07</v>
      </c>
      <c r="G35" s="7">
        <v>12436.73</v>
      </c>
      <c r="H35" s="7">
        <v>191440.8</v>
      </c>
      <c r="I35" s="7">
        <v>32604.46</v>
      </c>
      <c r="N35" s="3">
        <v>25.1</v>
      </c>
      <c r="O35" s="4" t="s">
        <v>34</v>
      </c>
      <c r="P35" s="7">
        <v>12436.73</v>
      </c>
      <c r="Q35" s="7">
        <v>191440.8</v>
      </c>
      <c r="R35" s="30">
        <f t="shared" si="0"/>
        <v>6.4963842608263239E-2</v>
      </c>
    </row>
    <row r="36" spans="4:18" ht="75.599999999999994" thickBot="1" x14ac:dyDescent="0.35">
      <c r="D36" s="3">
        <v>25.2</v>
      </c>
      <c r="E36" s="4" t="s">
        <v>35</v>
      </c>
      <c r="F36" s="7">
        <v>21929.49</v>
      </c>
      <c r="G36" s="7">
        <v>5914.26</v>
      </c>
      <c r="H36" s="7">
        <v>27843.75</v>
      </c>
      <c r="I36" s="7">
        <v>14548.54</v>
      </c>
      <c r="N36" s="3">
        <v>25.2</v>
      </c>
      <c r="O36" s="4" t="s">
        <v>35</v>
      </c>
      <c r="P36" s="7">
        <v>5914.26</v>
      </c>
      <c r="Q36" s="7">
        <v>27843.75</v>
      </c>
      <c r="R36" s="30">
        <f t="shared" si="0"/>
        <v>0.2124088888888889</v>
      </c>
    </row>
    <row r="37" spans="4:18" ht="60.6" thickBot="1" x14ac:dyDescent="0.35">
      <c r="D37" s="3">
        <v>25.3</v>
      </c>
      <c r="E37" s="4" t="s">
        <v>36</v>
      </c>
      <c r="F37" s="7">
        <v>79310.86</v>
      </c>
      <c r="G37" s="7">
        <v>7248.57</v>
      </c>
      <c r="H37" s="7">
        <v>86559.43</v>
      </c>
      <c r="I37" s="7">
        <v>19832.89</v>
      </c>
      <c r="N37" s="3">
        <v>25.3</v>
      </c>
      <c r="O37" s="4" t="s">
        <v>36</v>
      </c>
      <c r="P37" s="7">
        <v>7248.57</v>
      </c>
      <c r="Q37" s="7">
        <v>86559.43</v>
      </c>
      <c r="R37" s="30">
        <f t="shared" si="0"/>
        <v>8.3740962711977202E-2</v>
      </c>
    </row>
    <row r="38" spans="4:18" ht="45.6" thickBot="1" x14ac:dyDescent="0.35">
      <c r="D38" s="3">
        <v>26</v>
      </c>
      <c r="E38" s="4" t="s">
        <v>37</v>
      </c>
      <c r="F38" s="7">
        <v>200414.42</v>
      </c>
      <c r="G38" s="7">
        <v>33035.25</v>
      </c>
      <c r="H38" s="7">
        <v>233449.67</v>
      </c>
      <c r="I38" s="7">
        <v>33386.550000000003</v>
      </c>
      <c r="N38" s="3">
        <v>26</v>
      </c>
      <c r="O38" s="4" t="s">
        <v>37</v>
      </c>
      <c r="P38" s="7">
        <v>33035.25</v>
      </c>
      <c r="Q38" s="7">
        <v>233449.67</v>
      </c>
      <c r="R38" s="30">
        <f t="shared" si="0"/>
        <v>0.14150908844720148</v>
      </c>
    </row>
    <row r="39" spans="4:18" ht="45.6" thickBot="1" x14ac:dyDescent="0.35">
      <c r="D39" s="3">
        <v>27</v>
      </c>
      <c r="E39" s="4" t="s">
        <v>38</v>
      </c>
      <c r="F39" s="7">
        <v>361934.88</v>
      </c>
      <c r="G39" s="7">
        <v>18411.71</v>
      </c>
      <c r="H39" s="7">
        <v>380346.58</v>
      </c>
      <c r="I39" s="7">
        <v>52323.83</v>
      </c>
      <c r="N39" s="3">
        <v>27</v>
      </c>
      <c r="O39" s="4" t="s">
        <v>38</v>
      </c>
      <c r="P39" s="7">
        <v>18411.71</v>
      </c>
      <c r="Q39" s="7">
        <v>380346.58</v>
      </c>
      <c r="R39" s="30">
        <f t="shared" si="0"/>
        <v>4.8407718034430593E-2</v>
      </c>
    </row>
    <row r="40" spans="4:18" ht="60.6" thickBot="1" x14ac:dyDescent="0.35">
      <c r="D40" s="3">
        <v>28</v>
      </c>
      <c r="E40" s="4" t="s">
        <v>39</v>
      </c>
      <c r="F40" s="7">
        <v>1058738</v>
      </c>
      <c r="G40" s="7">
        <v>15542.76</v>
      </c>
      <c r="H40" s="7">
        <v>1074280.76</v>
      </c>
      <c r="I40" s="7">
        <v>35443.15</v>
      </c>
      <c r="N40" s="3">
        <v>28</v>
      </c>
      <c r="O40" s="4" t="s">
        <v>39</v>
      </c>
      <c r="P40" s="7">
        <v>15542.76</v>
      </c>
      <c r="Q40" s="7">
        <v>1074280.76</v>
      </c>
      <c r="R40" s="30">
        <f t="shared" si="0"/>
        <v>1.4468061403240621E-2</v>
      </c>
    </row>
    <row r="41" spans="4:18" ht="16.2" thickBot="1" x14ac:dyDescent="0.35">
      <c r="D41" s="8"/>
      <c r="E41" s="9" t="s">
        <v>4</v>
      </c>
      <c r="F41" s="10">
        <v>2463437</v>
      </c>
      <c r="G41" s="10">
        <v>128168.54</v>
      </c>
      <c r="H41" s="10">
        <v>2591605.54</v>
      </c>
      <c r="I41" s="10">
        <v>471140.72</v>
      </c>
      <c r="N41" s="8"/>
      <c r="O41" s="9" t="s">
        <v>4</v>
      </c>
      <c r="P41" s="10">
        <v>128168.54</v>
      </c>
      <c r="Q41" s="10">
        <v>2591605.54</v>
      </c>
      <c r="R41" s="30">
        <f t="shared" si="0"/>
        <v>4.9455265479946456E-2</v>
      </c>
    </row>
  </sheetData>
  <mergeCells count="11">
    <mergeCell ref="R4:R5"/>
    <mergeCell ref="D4:D5"/>
    <mergeCell ref="E4:E5"/>
    <mergeCell ref="F4:H4"/>
    <mergeCell ref="I4:I5"/>
    <mergeCell ref="D2:I2"/>
    <mergeCell ref="N2:R2"/>
    <mergeCell ref="N4:N5"/>
    <mergeCell ref="O4:O5"/>
    <mergeCell ref="P4:P5"/>
    <mergeCell ref="Q4:Q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EB7-4019-49C4-80DA-E3D6F4504537}">
  <dimension ref="D2:R41"/>
  <sheetViews>
    <sheetView tabSelected="1" workbookViewId="0">
      <selection activeCell="Q6" sqref="Q6:Q41"/>
    </sheetView>
  </sheetViews>
  <sheetFormatPr defaultRowHeight="14.4" x14ac:dyDescent="0.3"/>
  <sheetData>
    <row r="2" spans="4:18" x14ac:dyDescent="0.3">
      <c r="D2" s="29" t="s">
        <v>57</v>
      </c>
      <c r="E2" s="29"/>
      <c r="F2" s="29"/>
      <c r="G2" s="29"/>
      <c r="H2" s="29"/>
      <c r="I2" s="29"/>
      <c r="N2" s="29" t="s">
        <v>58</v>
      </c>
      <c r="O2" s="29"/>
      <c r="P2" s="29"/>
      <c r="Q2" s="29"/>
      <c r="R2" s="29"/>
    </row>
    <row r="3" spans="4:18" ht="15" thickBot="1" x14ac:dyDescent="0.35"/>
    <row r="4" spans="4:18" ht="31.2" customHeight="1" thickBot="1" x14ac:dyDescent="0.35">
      <c r="D4" s="18" t="s">
        <v>0</v>
      </c>
      <c r="E4" s="20" t="s">
        <v>1</v>
      </c>
      <c r="F4" s="27" t="s">
        <v>2</v>
      </c>
      <c r="G4" s="26"/>
      <c r="H4" s="28"/>
      <c r="I4" s="18" t="s">
        <v>46</v>
      </c>
      <c r="N4" s="18" t="s">
        <v>0</v>
      </c>
      <c r="O4" s="20" t="s">
        <v>1</v>
      </c>
      <c r="P4" s="20" t="s">
        <v>3</v>
      </c>
      <c r="Q4" s="20" t="s">
        <v>4</v>
      </c>
      <c r="R4" s="20" t="s">
        <v>49</v>
      </c>
    </row>
    <row r="5" spans="4:18" ht="31.8" thickBot="1" x14ac:dyDescent="0.35">
      <c r="D5" s="19"/>
      <c r="E5" s="21"/>
      <c r="F5" s="25" t="s">
        <v>47</v>
      </c>
      <c r="G5" s="1" t="s">
        <v>3</v>
      </c>
      <c r="H5" s="2" t="s">
        <v>4</v>
      </c>
      <c r="I5" s="19"/>
      <c r="N5" s="19"/>
      <c r="O5" s="21"/>
      <c r="P5" s="21"/>
      <c r="Q5" s="21"/>
      <c r="R5" s="21"/>
    </row>
    <row r="6" spans="4:18" ht="15.6" thickBot="1" x14ac:dyDescent="0.35">
      <c r="D6" s="3">
        <v>1</v>
      </c>
      <c r="E6" s="4" t="s">
        <v>5</v>
      </c>
      <c r="F6" s="7">
        <v>11521.4</v>
      </c>
      <c r="G6" s="7">
        <v>210.14</v>
      </c>
      <c r="H6" s="7">
        <v>11731.54</v>
      </c>
      <c r="I6" s="7">
        <v>7817.45</v>
      </c>
      <c r="N6" s="3">
        <v>1</v>
      </c>
      <c r="O6" s="4" t="s">
        <v>5</v>
      </c>
      <c r="P6" s="7">
        <v>210.14</v>
      </c>
      <c r="Q6" s="7">
        <v>11731.54</v>
      </c>
      <c r="R6" s="30">
        <f>P6/Q6</f>
        <v>1.7912396837925795E-2</v>
      </c>
    </row>
    <row r="7" spans="4:18" ht="15.6" thickBot="1" x14ac:dyDescent="0.35">
      <c r="D7" s="3">
        <v>2</v>
      </c>
      <c r="E7" s="4" t="s">
        <v>6</v>
      </c>
      <c r="F7" s="7">
        <v>8418.7099999999991</v>
      </c>
      <c r="G7" s="7">
        <v>107.37</v>
      </c>
      <c r="H7" s="7">
        <v>8526.07</v>
      </c>
      <c r="I7" s="7">
        <v>3195.88</v>
      </c>
      <c r="N7" s="3">
        <v>2</v>
      </c>
      <c r="O7" s="4" t="s">
        <v>6</v>
      </c>
      <c r="P7" s="7">
        <v>107.37</v>
      </c>
      <c r="Q7" s="7">
        <v>8526.07</v>
      </c>
      <c r="R7" s="30">
        <f t="shared" ref="R7:R41" si="0">P7/Q7</f>
        <v>1.2593140802268808E-2</v>
      </c>
    </row>
    <row r="8" spans="4:18" ht="30.6" thickBot="1" x14ac:dyDescent="0.35">
      <c r="D8" s="3">
        <v>3</v>
      </c>
      <c r="E8" s="4" t="s">
        <v>7</v>
      </c>
      <c r="F8" s="7">
        <v>54777.25</v>
      </c>
      <c r="G8" s="7">
        <v>2326.85</v>
      </c>
      <c r="H8" s="7">
        <v>57104.1</v>
      </c>
      <c r="I8" s="7">
        <v>49105.33</v>
      </c>
      <c r="N8" s="3">
        <v>3</v>
      </c>
      <c r="O8" s="4" t="s">
        <v>7</v>
      </c>
      <c r="P8" s="7">
        <v>2326.85</v>
      </c>
      <c r="Q8" s="7">
        <v>57104.1</v>
      </c>
      <c r="R8" s="30">
        <f t="shared" si="0"/>
        <v>4.0747512000014009E-2</v>
      </c>
    </row>
    <row r="9" spans="4:18" ht="45.6" thickBot="1" x14ac:dyDescent="0.35">
      <c r="D9" s="3">
        <v>4</v>
      </c>
      <c r="E9" s="4" t="s">
        <v>8</v>
      </c>
      <c r="F9" s="7">
        <v>30723.31</v>
      </c>
      <c r="G9" s="7">
        <v>771.1</v>
      </c>
      <c r="H9" s="7">
        <v>31494.41</v>
      </c>
      <c r="I9" s="7">
        <v>13797.42</v>
      </c>
      <c r="N9" s="3">
        <v>4</v>
      </c>
      <c r="O9" s="4" t="s">
        <v>8</v>
      </c>
      <c r="P9" s="7">
        <v>771.1</v>
      </c>
      <c r="Q9" s="7">
        <v>31494.41</v>
      </c>
      <c r="R9" s="30">
        <f t="shared" si="0"/>
        <v>2.4483709966308307E-2</v>
      </c>
    </row>
    <row r="10" spans="4:18" ht="45.6" thickBot="1" x14ac:dyDescent="0.35">
      <c r="D10" s="3">
        <v>5</v>
      </c>
      <c r="E10" s="4" t="s">
        <v>9</v>
      </c>
      <c r="F10" s="7">
        <v>40564.089999999997</v>
      </c>
      <c r="G10" s="7">
        <v>4397.25</v>
      </c>
      <c r="H10" s="7">
        <v>44961.34</v>
      </c>
      <c r="I10" s="7">
        <v>63931.65</v>
      </c>
      <c r="N10" s="3">
        <v>5</v>
      </c>
      <c r="O10" s="4" t="s">
        <v>9</v>
      </c>
      <c r="P10" s="7">
        <v>4397.25</v>
      </c>
      <c r="Q10" s="7">
        <v>44961.34</v>
      </c>
      <c r="R10" s="30">
        <f t="shared" si="0"/>
        <v>9.7800688324680723E-2</v>
      </c>
    </row>
    <row r="11" spans="4:18" ht="60.6" thickBot="1" x14ac:dyDescent="0.35">
      <c r="D11" s="3">
        <v>5.0999999999999996</v>
      </c>
      <c r="E11" s="4" t="s">
        <v>10</v>
      </c>
      <c r="F11" s="7">
        <v>4682.9399999999996</v>
      </c>
      <c r="G11" s="7">
        <v>97.17</v>
      </c>
      <c r="H11" s="7">
        <v>4780.1099999999997</v>
      </c>
      <c r="I11" s="7">
        <v>7158.75</v>
      </c>
      <c r="N11" s="3">
        <v>5.0999999999999996</v>
      </c>
      <c r="O11" s="4" t="s">
        <v>10</v>
      </c>
      <c r="P11" s="7">
        <v>97.17</v>
      </c>
      <c r="Q11" s="7">
        <v>4780.1099999999997</v>
      </c>
      <c r="R11" s="30">
        <f t="shared" si="0"/>
        <v>2.0327984084048276E-2</v>
      </c>
    </row>
    <row r="12" spans="4:18" ht="30.6" thickBot="1" x14ac:dyDescent="0.35">
      <c r="D12" s="3">
        <v>6</v>
      </c>
      <c r="E12" s="4" t="s">
        <v>11</v>
      </c>
      <c r="F12" s="7">
        <v>6646.95</v>
      </c>
      <c r="G12" s="7">
        <v>0.04</v>
      </c>
      <c r="H12" s="7">
        <v>6646.99</v>
      </c>
      <c r="I12" s="7">
        <v>0</v>
      </c>
      <c r="N12" s="3">
        <v>6</v>
      </c>
      <c r="O12" s="4" t="s">
        <v>11</v>
      </c>
      <c r="P12" s="7">
        <v>0.04</v>
      </c>
      <c r="Q12" s="7">
        <v>6646.99</v>
      </c>
      <c r="R12" s="30">
        <f t="shared" si="0"/>
        <v>6.0177614228395115E-6</v>
      </c>
    </row>
    <row r="13" spans="4:18" ht="30.6" thickBot="1" x14ac:dyDescent="0.35">
      <c r="D13" s="3">
        <v>7</v>
      </c>
      <c r="E13" s="4" t="s">
        <v>12</v>
      </c>
      <c r="F13" s="7">
        <v>24692.240000000002</v>
      </c>
      <c r="G13" s="7">
        <v>1362.86</v>
      </c>
      <c r="H13" s="7">
        <v>26055.11</v>
      </c>
      <c r="I13" s="7">
        <v>1896.49</v>
      </c>
      <c r="N13" s="3">
        <v>7</v>
      </c>
      <c r="O13" s="4" t="s">
        <v>12</v>
      </c>
      <c r="P13" s="7">
        <v>1362.86</v>
      </c>
      <c r="Q13" s="7">
        <v>26055.11</v>
      </c>
      <c r="R13" s="30">
        <f t="shared" si="0"/>
        <v>5.2306821963138898E-2</v>
      </c>
    </row>
    <row r="14" spans="4:18" ht="30.6" thickBot="1" x14ac:dyDescent="0.35">
      <c r="D14" s="3">
        <v>8</v>
      </c>
      <c r="E14" s="4" t="s">
        <v>13</v>
      </c>
      <c r="F14" s="7">
        <v>1142.8399999999999</v>
      </c>
      <c r="G14" s="7">
        <v>45.4</v>
      </c>
      <c r="H14" s="7">
        <v>1188.23</v>
      </c>
      <c r="I14" s="7">
        <v>37.07</v>
      </c>
      <c r="N14" s="3">
        <v>8</v>
      </c>
      <c r="O14" s="4" t="s">
        <v>13</v>
      </c>
      <c r="P14" s="7">
        <v>45.4</v>
      </c>
      <c r="Q14" s="7">
        <v>1188.23</v>
      </c>
      <c r="R14" s="30">
        <f t="shared" si="0"/>
        <v>3.8208091026148132E-2</v>
      </c>
    </row>
    <row r="15" spans="4:18" ht="30.6" thickBot="1" x14ac:dyDescent="0.35">
      <c r="D15" s="3">
        <v>9</v>
      </c>
      <c r="E15" s="4" t="s">
        <v>14</v>
      </c>
      <c r="F15" s="7">
        <v>13384.93</v>
      </c>
      <c r="G15" s="7">
        <v>989.6</v>
      </c>
      <c r="H15" s="7">
        <v>14374.53</v>
      </c>
      <c r="I15" s="7">
        <v>3304.46</v>
      </c>
      <c r="N15" s="3">
        <v>9</v>
      </c>
      <c r="O15" s="4" t="s">
        <v>14</v>
      </c>
      <c r="P15" s="7">
        <v>989.6</v>
      </c>
      <c r="Q15" s="7">
        <v>14374.53</v>
      </c>
      <c r="R15" s="30">
        <f t="shared" si="0"/>
        <v>6.8843990029587049E-2</v>
      </c>
    </row>
    <row r="16" spans="4:18" ht="15.6" thickBot="1" x14ac:dyDescent="0.35">
      <c r="D16" s="3">
        <v>10</v>
      </c>
      <c r="E16" s="4" t="s">
        <v>15</v>
      </c>
      <c r="F16" s="7">
        <v>6824.09</v>
      </c>
      <c r="G16" s="7">
        <v>367.02</v>
      </c>
      <c r="H16" s="7">
        <v>7191.11</v>
      </c>
      <c r="I16" s="7">
        <v>957.49</v>
      </c>
      <c r="N16" s="3">
        <v>10</v>
      </c>
      <c r="O16" s="4" t="s">
        <v>15</v>
      </c>
      <c r="P16" s="7">
        <v>367.02</v>
      </c>
      <c r="Q16" s="7">
        <v>7191.11</v>
      </c>
      <c r="R16" s="30">
        <f t="shared" si="0"/>
        <v>5.1038017774724623E-2</v>
      </c>
    </row>
    <row r="17" spans="4:18" ht="15.6" thickBot="1" x14ac:dyDescent="0.35">
      <c r="D17" s="3">
        <v>11</v>
      </c>
      <c r="E17" s="4" t="s">
        <v>16</v>
      </c>
      <c r="F17" s="7">
        <v>1196.0899999999999</v>
      </c>
      <c r="G17" s="7">
        <v>58.84</v>
      </c>
      <c r="H17" s="7">
        <v>1254.93</v>
      </c>
      <c r="I17" s="7">
        <v>27.92</v>
      </c>
      <c r="N17" s="3">
        <v>11</v>
      </c>
      <c r="O17" s="4" t="s">
        <v>16</v>
      </c>
      <c r="P17" s="7">
        <v>58.84</v>
      </c>
      <c r="Q17" s="7">
        <v>1254.93</v>
      </c>
      <c r="R17" s="30">
        <f t="shared" si="0"/>
        <v>4.6887077366865086E-2</v>
      </c>
    </row>
    <row r="18" spans="4:18" ht="45.6" thickBot="1" x14ac:dyDescent="0.35">
      <c r="D18" s="3">
        <v>12</v>
      </c>
      <c r="E18" s="4" t="s">
        <v>17</v>
      </c>
      <c r="F18" s="7">
        <v>52881.45</v>
      </c>
      <c r="G18" s="7">
        <v>4723.7</v>
      </c>
      <c r="H18" s="7">
        <v>57605.14</v>
      </c>
      <c r="I18" s="7">
        <v>3044.05</v>
      </c>
      <c r="N18" s="3">
        <v>12</v>
      </c>
      <c r="O18" s="4" t="s">
        <v>17</v>
      </c>
      <c r="P18" s="7">
        <v>4723.7</v>
      </c>
      <c r="Q18" s="7">
        <v>57605.14</v>
      </c>
      <c r="R18" s="30">
        <f t="shared" si="0"/>
        <v>8.2001363072809128E-2</v>
      </c>
    </row>
    <row r="19" spans="4:18" ht="60.6" thickBot="1" x14ac:dyDescent="0.35">
      <c r="D19" s="3">
        <v>13</v>
      </c>
      <c r="E19" s="4" t="s">
        <v>18</v>
      </c>
      <c r="F19" s="7">
        <v>5213.18</v>
      </c>
      <c r="G19" s="7">
        <v>537.79999999999995</v>
      </c>
      <c r="H19" s="7">
        <v>5750.97</v>
      </c>
      <c r="I19" s="7">
        <v>3412.37</v>
      </c>
      <c r="N19" s="3">
        <v>13</v>
      </c>
      <c r="O19" s="4" t="s">
        <v>18</v>
      </c>
      <c r="P19" s="7">
        <v>537.79999999999995</v>
      </c>
      <c r="Q19" s="7">
        <v>5750.97</v>
      </c>
      <c r="R19" s="30">
        <f t="shared" si="0"/>
        <v>9.3514659266175956E-2</v>
      </c>
    </row>
    <row r="20" spans="4:18" ht="90.6" thickBot="1" x14ac:dyDescent="0.35">
      <c r="D20" s="3">
        <v>14</v>
      </c>
      <c r="E20" s="4" t="s">
        <v>19</v>
      </c>
      <c r="F20" s="7">
        <v>160.62</v>
      </c>
      <c r="G20" s="7">
        <v>15.04</v>
      </c>
      <c r="H20" s="7">
        <v>175.66</v>
      </c>
      <c r="I20" s="7">
        <v>117.46</v>
      </c>
      <c r="N20" s="3">
        <v>14</v>
      </c>
      <c r="O20" s="4" t="s">
        <v>19</v>
      </c>
      <c r="P20" s="7">
        <v>15.04</v>
      </c>
      <c r="Q20" s="7">
        <v>175.66</v>
      </c>
      <c r="R20" s="30">
        <f t="shared" si="0"/>
        <v>8.5619947626095858E-2</v>
      </c>
    </row>
    <row r="21" spans="4:18" ht="60.6" thickBot="1" x14ac:dyDescent="0.35">
      <c r="D21" s="3">
        <v>15</v>
      </c>
      <c r="E21" s="4" t="s">
        <v>20</v>
      </c>
      <c r="F21" s="7">
        <v>5486.49</v>
      </c>
      <c r="G21" s="7">
        <v>383.25</v>
      </c>
      <c r="H21" s="7">
        <v>5869.74</v>
      </c>
      <c r="I21" s="7">
        <v>1220.58</v>
      </c>
      <c r="N21" s="3">
        <v>15</v>
      </c>
      <c r="O21" s="4" t="s">
        <v>20</v>
      </c>
      <c r="P21" s="7">
        <v>383.25</v>
      </c>
      <c r="Q21" s="7">
        <v>5869.74</v>
      </c>
      <c r="R21" s="30">
        <f t="shared" si="0"/>
        <v>6.5292500178883564E-2</v>
      </c>
    </row>
    <row r="22" spans="4:18" ht="75.599999999999994" thickBot="1" x14ac:dyDescent="0.35">
      <c r="D22" s="3">
        <v>16</v>
      </c>
      <c r="E22" s="4" t="s">
        <v>21</v>
      </c>
      <c r="F22" s="7">
        <v>9970.24</v>
      </c>
      <c r="G22" s="7">
        <v>848.72</v>
      </c>
      <c r="H22" s="7">
        <v>10818.96</v>
      </c>
      <c r="I22" s="7">
        <v>2182.12</v>
      </c>
      <c r="N22" s="3">
        <v>16</v>
      </c>
      <c r="O22" s="4" t="s">
        <v>21</v>
      </c>
      <c r="P22" s="7">
        <v>848.72</v>
      </c>
      <c r="Q22" s="7">
        <v>10818.96</v>
      </c>
      <c r="R22" s="30">
        <f t="shared" si="0"/>
        <v>7.8447466299903137E-2</v>
      </c>
    </row>
    <row r="23" spans="4:18" ht="75.599999999999994" thickBot="1" x14ac:dyDescent="0.35">
      <c r="D23" s="3">
        <v>17</v>
      </c>
      <c r="E23" s="4" t="s">
        <v>22</v>
      </c>
      <c r="F23" s="7">
        <v>94543.7</v>
      </c>
      <c r="G23" s="7">
        <v>2510.15</v>
      </c>
      <c r="H23" s="7">
        <v>97053.85</v>
      </c>
      <c r="I23" s="7">
        <v>80921.5</v>
      </c>
      <c r="N23" s="3">
        <v>17</v>
      </c>
      <c r="O23" s="4" t="s">
        <v>22</v>
      </c>
      <c r="P23" s="7">
        <v>2510.15</v>
      </c>
      <c r="Q23" s="7">
        <v>97053.85</v>
      </c>
      <c r="R23" s="30">
        <f t="shared" si="0"/>
        <v>2.5863476822403232E-2</v>
      </c>
    </row>
    <row r="24" spans="4:18" ht="60.6" thickBot="1" x14ac:dyDescent="0.35">
      <c r="D24" s="3">
        <v>17.100000000000001</v>
      </c>
      <c r="E24" s="4" t="s">
        <v>23</v>
      </c>
      <c r="F24" s="7">
        <v>17982.66</v>
      </c>
      <c r="G24" s="7">
        <v>680.3</v>
      </c>
      <c r="H24" s="7">
        <v>18662.96</v>
      </c>
      <c r="I24" s="7">
        <v>14142.84</v>
      </c>
      <c r="N24" s="3">
        <v>17.100000000000001</v>
      </c>
      <c r="O24" s="4" t="s">
        <v>23</v>
      </c>
      <c r="P24" s="7">
        <v>680.3</v>
      </c>
      <c r="Q24" s="7">
        <v>18662.96</v>
      </c>
      <c r="R24" s="30">
        <f t="shared" si="0"/>
        <v>3.6451881159258764E-2</v>
      </c>
    </row>
    <row r="25" spans="4:18" ht="60.6" thickBot="1" x14ac:dyDescent="0.35">
      <c r="D25" s="3">
        <v>17.2</v>
      </c>
      <c r="E25" s="4" t="s">
        <v>24</v>
      </c>
      <c r="F25" s="7">
        <v>49477.18</v>
      </c>
      <c r="G25" s="7">
        <v>139.44</v>
      </c>
      <c r="H25" s="7">
        <v>49616.62</v>
      </c>
      <c r="I25" s="7">
        <v>53166.26</v>
      </c>
      <c r="N25" s="3">
        <v>17.2</v>
      </c>
      <c r="O25" s="4" t="s">
        <v>24</v>
      </c>
      <c r="P25" s="7">
        <v>139.44</v>
      </c>
      <c r="Q25" s="7">
        <v>49616.62</v>
      </c>
      <c r="R25" s="30">
        <f t="shared" si="0"/>
        <v>2.8103486291488618E-3</v>
      </c>
    </row>
    <row r="26" spans="4:18" ht="75.599999999999994" thickBot="1" x14ac:dyDescent="0.35">
      <c r="D26" s="3">
        <v>17.3</v>
      </c>
      <c r="E26" s="4" t="s">
        <v>25</v>
      </c>
      <c r="F26" s="7">
        <v>13597.57</v>
      </c>
      <c r="G26" s="7">
        <v>411.63</v>
      </c>
      <c r="H26" s="7">
        <v>14009.2</v>
      </c>
      <c r="I26" s="7">
        <v>2174.9299999999998</v>
      </c>
      <c r="N26" s="3">
        <v>17.3</v>
      </c>
      <c r="O26" s="4" t="s">
        <v>25</v>
      </c>
      <c r="P26" s="7">
        <v>411.63</v>
      </c>
      <c r="Q26" s="7">
        <v>14009.2</v>
      </c>
      <c r="R26" s="30">
        <f t="shared" si="0"/>
        <v>2.9382834137566739E-2</v>
      </c>
    </row>
    <row r="27" spans="4:18" ht="15.6" thickBot="1" x14ac:dyDescent="0.35">
      <c r="D27" s="3">
        <v>18</v>
      </c>
      <c r="E27" s="4" t="s">
        <v>26</v>
      </c>
      <c r="F27" s="7">
        <v>8789.66</v>
      </c>
      <c r="G27" s="7">
        <v>683.18</v>
      </c>
      <c r="H27" s="7">
        <v>9472.84</v>
      </c>
      <c r="I27" s="7">
        <v>4495.74</v>
      </c>
      <c r="N27" s="3">
        <v>18</v>
      </c>
      <c r="O27" s="4" t="s">
        <v>26</v>
      </c>
      <c r="P27" s="7">
        <v>683.18</v>
      </c>
      <c r="Q27" s="7">
        <v>9472.84</v>
      </c>
      <c r="R27" s="30">
        <f t="shared" si="0"/>
        <v>7.2119871126293686E-2</v>
      </c>
    </row>
    <row r="28" spans="4:18" ht="75.599999999999994" thickBot="1" x14ac:dyDescent="0.35">
      <c r="D28" s="3">
        <v>19</v>
      </c>
      <c r="E28" s="4" t="s">
        <v>27</v>
      </c>
      <c r="F28" s="7">
        <v>3196.74</v>
      </c>
      <c r="G28" s="7">
        <v>295.87</v>
      </c>
      <c r="H28" s="7">
        <v>3492.62</v>
      </c>
      <c r="I28" s="7">
        <v>422.43</v>
      </c>
      <c r="N28" s="3">
        <v>19</v>
      </c>
      <c r="O28" s="4" t="s">
        <v>27</v>
      </c>
      <c r="P28" s="7">
        <v>295.87</v>
      </c>
      <c r="Q28" s="7">
        <v>3492.62</v>
      </c>
      <c r="R28" s="30">
        <f t="shared" si="0"/>
        <v>8.4712908933694486E-2</v>
      </c>
    </row>
    <row r="29" spans="4:18" ht="60.6" thickBot="1" x14ac:dyDescent="0.35">
      <c r="D29" s="3">
        <v>20</v>
      </c>
      <c r="E29" s="4" t="s">
        <v>28</v>
      </c>
      <c r="F29" s="7">
        <v>11684.33</v>
      </c>
      <c r="G29" s="7">
        <v>1613.02</v>
      </c>
      <c r="H29" s="7">
        <v>13297.35</v>
      </c>
      <c r="I29" s="7">
        <v>290.91000000000003</v>
      </c>
      <c r="N29" s="3">
        <v>20</v>
      </c>
      <c r="O29" s="4" t="s">
        <v>28</v>
      </c>
      <c r="P29" s="7">
        <v>1613.02</v>
      </c>
      <c r="Q29" s="7">
        <v>13297.35</v>
      </c>
      <c r="R29" s="30">
        <f t="shared" si="0"/>
        <v>0.12130386881596708</v>
      </c>
    </row>
    <row r="30" spans="4:18" ht="30.6" thickBot="1" x14ac:dyDescent="0.35">
      <c r="D30" s="3">
        <v>21</v>
      </c>
      <c r="E30" s="4" t="s">
        <v>29</v>
      </c>
      <c r="F30" s="7">
        <v>43212.5</v>
      </c>
      <c r="G30" s="7">
        <v>1353.17</v>
      </c>
      <c r="H30" s="7">
        <v>44565.68</v>
      </c>
      <c r="I30" s="7">
        <v>17742.86</v>
      </c>
      <c r="N30" s="3">
        <v>21</v>
      </c>
      <c r="O30" s="4" t="s">
        <v>29</v>
      </c>
      <c r="P30" s="7">
        <v>1353.17</v>
      </c>
      <c r="Q30" s="7">
        <v>44565.68</v>
      </c>
      <c r="R30" s="30">
        <f t="shared" si="0"/>
        <v>3.036349944621063E-2</v>
      </c>
    </row>
    <row r="31" spans="4:18" ht="30.6" thickBot="1" x14ac:dyDescent="0.35">
      <c r="D31" s="3">
        <v>22</v>
      </c>
      <c r="E31" s="4" t="s">
        <v>30</v>
      </c>
      <c r="F31" s="7">
        <v>49193.63</v>
      </c>
      <c r="G31" s="7">
        <v>308.52</v>
      </c>
      <c r="H31" s="7">
        <v>49502.15</v>
      </c>
      <c r="I31" s="7">
        <v>33461.29</v>
      </c>
      <c r="N31" s="3">
        <v>22</v>
      </c>
      <c r="O31" s="4" t="s">
        <v>30</v>
      </c>
      <c r="P31" s="7">
        <v>308.52</v>
      </c>
      <c r="Q31" s="7">
        <v>49502.15</v>
      </c>
      <c r="R31" s="30">
        <f t="shared" si="0"/>
        <v>6.232456570068168E-3</v>
      </c>
    </row>
    <row r="32" spans="4:18" ht="45.6" thickBot="1" x14ac:dyDescent="0.35">
      <c r="D32" s="3">
        <v>23</v>
      </c>
      <c r="E32" s="4" t="s">
        <v>31</v>
      </c>
      <c r="F32" s="7">
        <v>17687.439999999999</v>
      </c>
      <c r="G32" s="7">
        <v>979.77</v>
      </c>
      <c r="H32" s="7">
        <v>18667.2</v>
      </c>
      <c r="I32" s="7">
        <v>7147.44</v>
      </c>
      <c r="N32" s="3">
        <v>23</v>
      </c>
      <c r="O32" s="4" t="s">
        <v>31</v>
      </c>
      <c r="P32" s="7">
        <v>979.77</v>
      </c>
      <c r="Q32" s="7">
        <v>18667.2</v>
      </c>
      <c r="R32" s="30">
        <f t="shared" si="0"/>
        <v>5.2486178966315244E-2</v>
      </c>
    </row>
    <row r="33" spans="4:18" ht="60.6" thickBot="1" x14ac:dyDescent="0.35">
      <c r="D33" s="3">
        <v>24</v>
      </c>
      <c r="E33" s="4" t="s">
        <v>32</v>
      </c>
      <c r="F33" s="7">
        <v>7450.64</v>
      </c>
      <c r="G33" s="7">
        <v>9.18</v>
      </c>
      <c r="H33" s="7">
        <v>7459.82</v>
      </c>
      <c r="I33" s="7">
        <v>1692.82</v>
      </c>
      <c r="N33" s="3">
        <v>24</v>
      </c>
      <c r="O33" s="4" t="s">
        <v>32</v>
      </c>
      <c r="P33" s="7">
        <v>9.18</v>
      </c>
      <c r="Q33" s="7">
        <v>7459.82</v>
      </c>
      <c r="R33" s="30">
        <f t="shared" si="0"/>
        <v>1.2305926952661057E-3</v>
      </c>
    </row>
    <row r="34" spans="4:18" ht="30.6" thickBot="1" x14ac:dyDescent="0.35">
      <c r="D34" s="3">
        <v>25</v>
      </c>
      <c r="E34" s="4" t="s">
        <v>33</v>
      </c>
      <c r="F34" s="7">
        <v>373165.53</v>
      </c>
      <c r="G34" s="7">
        <v>28407.24</v>
      </c>
      <c r="H34" s="7">
        <v>401572.78</v>
      </c>
      <c r="I34" s="7">
        <v>85085.73</v>
      </c>
      <c r="N34" s="3">
        <v>25</v>
      </c>
      <c r="O34" s="4" t="s">
        <v>33</v>
      </c>
      <c r="P34" s="7">
        <v>28407.24</v>
      </c>
      <c r="Q34" s="7">
        <v>401572.78</v>
      </c>
      <c r="R34" s="30">
        <f t="shared" si="0"/>
        <v>7.0739954037721375E-2</v>
      </c>
    </row>
    <row r="35" spans="4:18" ht="45.6" thickBot="1" x14ac:dyDescent="0.35">
      <c r="D35" s="3">
        <v>25.1</v>
      </c>
      <c r="E35" s="4" t="s">
        <v>34</v>
      </c>
      <c r="F35" s="7">
        <v>190495.03</v>
      </c>
      <c r="G35" s="7">
        <v>8549.6</v>
      </c>
      <c r="H35" s="7">
        <v>199344.63</v>
      </c>
      <c r="I35" s="7">
        <v>32594.85</v>
      </c>
      <c r="N35" s="3">
        <v>25.1</v>
      </c>
      <c r="O35" s="4" t="s">
        <v>34</v>
      </c>
      <c r="P35" s="7">
        <v>8549.6</v>
      </c>
      <c r="Q35" s="7">
        <v>199344.63</v>
      </c>
      <c r="R35" s="30">
        <f t="shared" si="0"/>
        <v>4.2888539310038096E-2</v>
      </c>
    </row>
    <row r="36" spans="4:18" ht="75.599999999999994" thickBot="1" x14ac:dyDescent="0.35">
      <c r="D36" s="3">
        <v>25.2</v>
      </c>
      <c r="E36" s="4" t="s">
        <v>35</v>
      </c>
      <c r="F36" s="7">
        <v>34464.21</v>
      </c>
      <c r="G36" s="7">
        <v>5912.44</v>
      </c>
      <c r="H36" s="7">
        <v>40376.65</v>
      </c>
      <c r="I36" s="7">
        <v>6232.15</v>
      </c>
      <c r="N36" s="3">
        <v>25.2</v>
      </c>
      <c r="O36" s="4" t="s">
        <v>35</v>
      </c>
      <c r="P36" s="7">
        <v>5912.44</v>
      </c>
      <c r="Q36" s="7">
        <v>40376.65</v>
      </c>
      <c r="R36" s="30">
        <f t="shared" si="0"/>
        <v>0.14643215819043925</v>
      </c>
    </row>
    <row r="37" spans="4:18" ht="60.6" thickBot="1" x14ac:dyDescent="0.35">
      <c r="D37" s="3">
        <v>25.3</v>
      </c>
      <c r="E37" s="4" t="s">
        <v>36</v>
      </c>
      <c r="F37" s="7">
        <v>82345.63</v>
      </c>
      <c r="G37" s="7">
        <v>7650.59</v>
      </c>
      <c r="H37" s="7">
        <v>89996.22</v>
      </c>
      <c r="I37" s="7">
        <v>20481.150000000001</v>
      </c>
      <c r="N37" s="3">
        <v>25.3</v>
      </c>
      <c r="O37" s="4" t="s">
        <v>36</v>
      </c>
      <c r="P37" s="7">
        <v>7650.59</v>
      </c>
      <c r="Q37" s="7">
        <v>89996.22</v>
      </c>
      <c r="R37" s="30">
        <f t="shared" si="0"/>
        <v>8.5010125980846757E-2</v>
      </c>
    </row>
    <row r="38" spans="4:18" ht="45.6" thickBot="1" x14ac:dyDescent="0.35">
      <c r="D38" s="3">
        <v>26</v>
      </c>
      <c r="E38" s="4" t="s">
        <v>37</v>
      </c>
      <c r="F38" s="7">
        <v>275979.40999999997</v>
      </c>
      <c r="G38" s="7">
        <v>30197.88</v>
      </c>
      <c r="H38" s="7">
        <v>306177.28999999998</v>
      </c>
      <c r="I38" s="7">
        <v>71749.19</v>
      </c>
      <c r="N38" s="3">
        <v>26</v>
      </c>
      <c r="O38" s="4" t="s">
        <v>37</v>
      </c>
      <c r="P38" s="7">
        <v>30197.88</v>
      </c>
      <c r="Q38" s="7">
        <v>306177.28999999998</v>
      </c>
      <c r="R38" s="30">
        <f t="shared" si="0"/>
        <v>9.8628738924431664E-2</v>
      </c>
    </row>
    <row r="39" spans="4:18" ht="45.6" thickBot="1" x14ac:dyDescent="0.35">
      <c r="D39" s="3">
        <v>27</v>
      </c>
      <c r="E39" s="4" t="s">
        <v>38</v>
      </c>
      <c r="F39" s="7">
        <v>422772.07</v>
      </c>
      <c r="G39" s="7">
        <v>14124.56</v>
      </c>
      <c r="H39" s="7">
        <v>436896.63</v>
      </c>
      <c r="I39" s="7">
        <v>41789.83</v>
      </c>
      <c r="N39" s="3">
        <v>27</v>
      </c>
      <c r="O39" s="4" t="s">
        <v>38</v>
      </c>
      <c r="P39" s="7">
        <v>14124.56</v>
      </c>
      <c r="Q39" s="7">
        <v>436896.63</v>
      </c>
      <c r="R39" s="30">
        <f t="shared" si="0"/>
        <v>3.2329294918113698E-2</v>
      </c>
    </row>
    <row r="40" spans="4:18" ht="60.6" thickBot="1" x14ac:dyDescent="0.35">
      <c r="D40" s="3">
        <v>28</v>
      </c>
      <c r="E40" s="4" t="s">
        <v>39</v>
      </c>
      <c r="F40" s="7">
        <v>1185076.81</v>
      </c>
      <c r="G40" s="7">
        <v>15157.56</v>
      </c>
      <c r="H40" s="7">
        <v>1200234.3700000001</v>
      </c>
      <c r="I40" s="7">
        <v>31163.95</v>
      </c>
      <c r="N40" s="3">
        <v>28</v>
      </c>
      <c r="O40" s="4" t="s">
        <v>39</v>
      </c>
      <c r="P40" s="7">
        <v>15157.56</v>
      </c>
      <c r="Q40" s="7">
        <v>1200234.3700000001</v>
      </c>
      <c r="R40" s="30">
        <f t="shared" si="0"/>
        <v>1.2628833483580376E-2</v>
      </c>
    </row>
    <row r="41" spans="4:18" ht="16.2" thickBot="1" x14ac:dyDescent="0.35">
      <c r="D41" s="8"/>
      <c r="E41" s="9" t="s">
        <v>4</v>
      </c>
      <c r="F41" s="10">
        <v>2766356.34</v>
      </c>
      <c r="G41" s="10">
        <v>112785.09</v>
      </c>
      <c r="H41" s="10">
        <v>2879141.43</v>
      </c>
      <c r="I41" s="10">
        <v>534011.4</v>
      </c>
      <c r="N41" s="8"/>
      <c r="O41" s="9" t="s">
        <v>4</v>
      </c>
      <c r="P41" s="10">
        <v>112785.09</v>
      </c>
      <c r="Q41" s="10">
        <v>2879141.43</v>
      </c>
      <c r="R41" s="30">
        <f t="shared" si="0"/>
        <v>3.9173167675892878E-2</v>
      </c>
    </row>
  </sheetData>
  <mergeCells count="11">
    <mergeCell ref="R4:R5"/>
    <mergeCell ref="D2:I2"/>
    <mergeCell ref="N2:R2"/>
    <mergeCell ref="D4:D5"/>
    <mergeCell ref="E4:E5"/>
    <mergeCell ref="F4:H4"/>
    <mergeCell ref="I4:I5"/>
    <mergeCell ref="N4:N5"/>
    <mergeCell ref="O4:O5"/>
    <mergeCell ref="P4:P5"/>
    <mergeCell ref="Q4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31st Dec 2022 (Nifty 50)</vt:lpstr>
      <vt:lpstr>Mar 2018 data</vt:lpstr>
      <vt:lpstr>Mar 2019 data</vt:lpstr>
      <vt:lpstr>Mar 2020 data</vt:lpstr>
      <vt:lpstr>Mar 2021 data</vt:lpstr>
      <vt:lpstr>Mar 2022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Pulusu</dc:creator>
  <cp:lastModifiedBy>Pulusu Kaushik Reddy</cp:lastModifiedBy>
  <dcterms:created xsi:type="dcterms:W3CDTF">2023-05-01T06:29:08Z</dcterms:created>
  <dcterms:modified xsi:type="dcterms:W3CDTF">2023-05-11T12:55:49Z</dcterms:modified>
</cp:coreProperties>
</file>